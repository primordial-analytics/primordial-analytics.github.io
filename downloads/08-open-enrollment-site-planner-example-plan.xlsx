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Plan" sheetId="2" state="visible" r:id="rId2"/>
    <sheet name="Call sheet" sheetId="3" state="visible" r:id="rId3"/>
    <sheet name="ZIP roll-up" sheetId="4" state="visible" r:id="rId4"/>
    <sheet name="ZIP parts" sheetId="5" state="visible" r:id="rId5"/>
    <sheet name="Venues" sheetId="6" state="visible" r:id="rId6"/>
    <sheet name="Assumptions and sources" sheetId="7" state="visible" r:id="rId7"/>
  </sheets>
  <definedNames>
    <definedName name="_xlnm._FilterDatabase" localSheetId="2" hidden="1">'Call sheet'!$A$1:$AN$34</definedName>
  </definedNames>
  <calcPr calcId="124519" fullCalcOnLoad="1"/>
</workbook>
</file>

<file path=xl/styles.xml><?xml version="1.0" encoding="utf-8"?>
<styleSheet xmlns="http://schemas.openxmlformats.org/spreadsheetml/2006/main">
  <numFmts count="1">
    <numFmt numFmtId="164" formatCode="0.0"/>
  </numFmts>
  <fonts count="3">
    <font>
      <name val="Calibri"/>
      <family val="2"/>
      <color theme="1"/>
      <sz val="11"/>
      <scheme val="minor"/>
    </font>
    <font>
      <b val="1"/>
      <color rgb="00191345"/>
    </font>
    <font>
      <b val="1"/>
      <color rgb="00191345"/>
      <sz val="16"/>
    </font>
  </fonts>
  <fills count="5">
    <fill>
      <patternFill/>
    </fill>
    <fill>
      <patternFill patternType="gray125"/>
    </fill>
    <fill>
      <patternFill patternType="solid">
        <fgColor rgb="00B3A369"/>
      </patternFill>
    </fill>
    <fill>
      <patternFill patternType="solid">
        <fgColor rgb="00FFF2B3"/>
      </patternFill>
    </fill>
    <fill>
      <patternFill patternType="solid">
        <fgColor rgb="00EFEFEF"/>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7">
    <xf numFmtId="0" fontId="0"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xf numFmtId="0" fontId="1" fillId="2" borderId="0" pivotButton="0" quotePrefix="0" xfId="0"/>
    <xf numFmtId="0" fontId="0" fillId="2" borderId="0" pivotButton="0" quotePrefix="0" xfId="0"/>
    <xf numFmtId="0" fontId="1" fillId="0" borderId="0" applyAlignment="1" pivotButton="0" quotePrefix="0" xfId="0">
      <alignment vertical="top" wrapText="1"/>
    </xf>
    <xf numFmtId="0" fontId="0" fillId="3" borderId="1" pivotButton="0" quotePrefix="0" xfId="0"/>
    <xf numFmtId="3" fontId="0" fillId="4" borderId="1" pivotButton="0" quotePrefix="0" xfId="0"/>
    <xf numFmtId="3" fontId="1" fillId="4" borderId="1" pivotButton="0" quotePrefix="0" xfId="0"/>
    <xf numFmtId="9" fontId="0" fillId="4" borderId="1" pivotButton="0" quotePrefix="0" xfId="0"/>
    <xf numFmtId="2" fontId="0" fillId="4" borderId="1" pivotButton="0" quotePrefix="0" xfId="0"/>
    <xf numFmtId="1" fontId="0" fillId="3" borderId="1" pivotButton="0" quotePrefix="0" xfId="0"/>
    <xf numFmtId="164" fontId="0" fillId="3" borderId="1" pivotButton="0" quotePrefix="0" xfId="0"/>
    <xf numFmtId="9" fontId="1" fillId="4" borderId="1" pivotButton="0" quotePrefix="0" xfId="0"/>
    <xf numFmtId="164" fontId="0" fillId="4" borderId="1"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10" customWidth="1" min="1" max="1"/>
  </cols>
  <sheetData>
    <row r="1">
      <c r="A1" s="1" t="inlineStr">
        <is>
          <t>Open enrollment site plan (example)</t>
        </is>
      </c>
    </row>
    <row r="2">
      <c r="A2" s="2" t="inlineStr">
        <is>
          <t>County: Comal County, TX. Chosen by rule: the median-population county among those in states that have not expanded Medicaid (so the coverage gap is not zero) with 8 or more candidate venues.</t>
        </is>
      </c>
    </row>
    <row r="3">
      <c r="A3" s="2" t="inlineStr">
        <is>
          <t>An example on public data, not client work. Model outputs are estimate ranges, not forecasts.</t>
        </is>
      </c>
    </row>
    <row r="4">
      <c r="A4" s="2" t="inlineStr"/>
    </row>
    <row r="5">
      <c r="A5" s="2" t="inlineStr">
        <is>
          <t>Plan: choose who counts and your staff hours (yellow); expected reach, its 90% interval and the weeks to see everyone recalculate.</t>
        </is>
      </c>
    </row>
    <row r="6">
      <c r="A6" s="2" t="inlineStr">
        <is>
          <t>Call sheet: one row per census tract with the modelled number of uninsured people in each group, their spread and correlation, and how much of the tract each site reaches.</t>
        </is>
      </c>
    </row>
    <row r="7">
      <c r="A7" s="2" t="inlineStr">
        <is>
          <t>ZIP roll-up: the same numbers by ZIP area, split by the share of each tract's land in the ZIP area (so some people are placed on empty land).</t>
        </is>
      </c>
    </row>
    <row r="8">
      <c r="A8" s="2" t="inlineStr">
        <is>
          <t>Venues: every library and health center site in the county that the planner considered. The five in the plan are marked.</t>
        </is>
      </c>
    </row>
    <row r="9">
      <c r="A9" s="2" t="inlineStr">
        <is>
          <t>To pick different sites, use the planner on the page, which runs the same rule.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cols>
    <col width="58"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c r="A1" s="3" t="inlineStr">
        <is>
          <t>Open enrollment site plan: Comal County, TX</t>
        </is>
      </c>
    </row>
    <row r="2">
      <c r="A2" t="inlineStr">
        <is>
          <t>An example on public data, not client work. Yellow cells are yours to change; the rest recalculates.</t>
        </is>
      </c>
    </row>
    <row r="4">
      <c r="A4" s="4" t="inlineStr">
        <is>
          <t>1. Who counts</t>
        </is>
      </c>
      <c r="B4" s="5" t="n"/>
      <c r="C4" s="5" t="n"/>
      <c r="D4" s="5" t="n"/>
      <c r="E4" s="5" t="n"/>
      <c r="F4" s="5" t="n"/>
      <c r="G4" s="5" t="n"/>
      <c r="H4" s="5" t="n"/>
    </row>
    <row r="5">
      <c r="A5" t="inlineStr">
        <is>
          <t>Count these groups (Yes or No)</t>
        </is>
      </c>
      <c r="C5" s="6" t="inlineStr">
        <is>
          <t>Children</t>
        </is>
      </c>
      <c r="D5" s="6" t="inlineStr">
        <is>
          <t>Medicaid range</t>
        </is>
      </c>
      <c r="E5" s="6" t="inlineStr">
        <is>
          <t>Subsidy range</t>
        </is>
      </c>
      <c r="F5" s="6" t="inlineStr">
        <is>
          <t>Coverage gap</t>
        </is>
      </c>
      <c r="G5" s="6" t="inlineStr">
        <is>
          <t>400% and over</t>
        </is>
      </c>
      <c r="H5" s="6" t="inlineStr">
        <is>
          <t>Noncitizen adults</t>
        </is>
      </c>
    </row>
    <row r="6">
      <c r="A6" t="inlineStr">
        <is>
          <t>1 counts the group, 0 leaves it out</t>
        </is>
      </c>
      <c r="C6" s="7" t="n">
        <v>1</v>
      </c>
      <c r="D6" s="7" t="n">
        <v>1</v>
      </c>
      <c r="E6" s="7" t="n">
        <v>1</v>
      </c>
      <c r="F6" s="7" t="n">
        <v>0</v>
      </c>
      <c r="G6" s="7" t="n">
        <v>0</v>
      </c>
      <c r="H6" s="7" t="n">
        <v>0</v>
      </c>
    </row>
    <row r="7">
      <c r="A7" t="inlineStr">
        <is>
          <t>Noncitizen adults: eligibility varies; the survey cannot tell who can get help paying premiums. Children at 400% of poverty and over are in the 400% group.</t>
        </is>
      </c>
    </row>
    <row r="8" ht="48" customHeight="1">
      <c r="A8" s="2" t="inlineStr">
        <is>
          <t>Expected reach = sum over tracts of eligible people x min(1, sum of the sites' weights for the tract). A site's weight for a tract is exp(-2 (d / R)^2) up to R miles, so a tract at the limit counts 14% of its people. It is not a headcount of people who will come.</t>
        </is>
      </c>
    </row>
    <row r="9">
      <c r="A9" s="4" t="inlineStr">
        <is>
          <t>2. What the five sites reach (distance 15 miles, straight line x 1.3)</t>
        </is>
      </c>
      <c r="B9" s="5" t="n"/>
      <c r="C9" s="5" t="n"/>
      <c r="D9" s="5" t="n"/>
      <c r="E9" s="5" t="n"/>
      <c r="F9" s="5" t="n"/>
      <c r="G9" s="5" t="n"/>
      <c r="H9" s="5" t="n"/>
    </row>
    <row r="10">
      <c r="A10" t="inlineStr">
        <is>
          <t>Eligible uninsured people in the county</t>
        </is>
      </c>
      <c r="B10" s="8">
        <f>SUM('Call sheet'!$AE$2:$AE$34)</f>
        <v>10339.3999986649</v>
      </c>
    </row>
    <row r="11">
      <c r="A11" t="inlineStr">
        <is>
          <t>Expected reach of the plan (people, distance-weighted)</t>
        </is>
      </c>
      <c r="B11" s="9">
        <f>SUMPRODUCT('Call sheet'!$AE$2:$AE$34,'Call sheet'!$AG$2:$AG$34)</f>
        <v>9363.74175419664</v>
      </c>
    </row>
    <row r="12">
      <c r="A12" t="inlineStr">
        <is>
          <t>Expected reach as a share of the county's eligible people</t>
        </is>
      </c>
      <c r="B12" s="10">
        <f>B11/B10</f>
        <v>0.905636860495367</v>
      </c>
    </row>
    <row r="13">
      <c r="A13" t="inlineStr">
        <is>
          <t>County factor for the interval (from the model draws)</t>
        </is>
      </c>
      <c r="B13" s="11" t="n">
        <v>2.222</v>
      </c>
    </row>
    <row r="14">
      <c r="A14" t="inlineStr">
        <is>
          <t>Expected reach, 90% interval low</t>
        </is>
      </c>
      <c r="B14" s="8">
        <f>MAX(0,B11-1.645*B13*SQRT(SUMPRODUCT('Call sheet'!$AG$2:$AG$34^2,'Call sheet'!$AF$2:$AF$34^2)))</f>
        <v>8189.89747445081</v>
      </c>
    </row>
    <row r="15">
      <c r="A15" t="inlineStr">
        <is>
          <t>Expected reach, 90% interval high</t>
        </is>
      </c>
      <c r="B15" s="8">
        <f>MIN(B10,B11+1.645*B13*SQRT(SUMPRODUCT('Call sheet'!$AG$2:$AG$34^2,'Call sheet'!$AF$2:$AF$34^2)))</f>
        <v>10339.3999986649</v>
      </c>
    </row>
    <row r="16" ht="32" customHeight="1">
      <c r="A16" s="2" t="inlineStr">
        <is>
          <t>The interval is for the default settings (five sites, the default distance). It counts the model's tract ranges and the correlation between the groups you switch on.</t>
        </is>
      </c>
    </row>
    <row r="17">
      <c r="A17" s="4" t="inlineStr">
        <is>
          <t>3. Staff hours</t>
        </is>
      </c>
      <c r="B17" s="5" t="n"/>
      <c r="C17" s="5" t="n"/>
      <c r="D17" s="5" t="n"/>
      <c r="E17" s="5" t="n"/>
      <c r="F17" s="5" t="n"/>
      <c r="G17" s="5" t="n"/>
      <c r="H17" s="5" t="n"/>
    </row>
    <row r="18">
      <c r="A18" t="inlineStr">
        <is>
          <t>Navigators or counselors at each event</t>
        </is>
      </c>
      <c r="B18" s="12" t="n">
        <v>2</v>
      </c>
    </row>
    <row r="19">
      <c r="A19" t="inlineStr">
        <is>
          <t>Appointments one person can do in a day</t>
        </is>
      </c>
      <c r="B19" s="12" t="n">
        <v>6</v>
      </c>
    </row>
    <row r="20">
      <c r="A20" t="inlineStr">
        <is>
          <t>Days a week each site is open</t>
        </is>
      </c>
      <c r="B20" s="12" t="n">
        <v>3</v>
      </c>
    </row>
    <row r="21">
      <c r="A21" t="inlineStr">
        <is>
          <t>Weeks before the date that matters to you</t>
        </is>
      </c>
      <c r="B21" s="13" t="n">
        <v>6</v>
      </c>
    </row>
    <row r="22">
      <c r="A22" t="inlineStr">
        <is>
          <t>Appointments a site can do in a week</t>
        </is>
      </c>
      <c r="B22" s="8">
        <f>B18*B19*B20</f>
        <v>36</v>
      </c>
    </row>
    <row r="23">
      <c r="A23" t="inlineStr">
        <is>
          <t>Appointments the staff hours provide before that date, all sites</t>
        </is>
      </c>
      <c r="B23" s="8">
        <f>B22*B21*5</f>
        <v>1080</v>
      </c>
    </row>
    <row r="24">
      <c r="A24" t="inlineStr">
        <is>
          <t>Each person needs one appointment: share of the expected reach the staff hours can see</t>
        </is>
      </c>
      <c r="B24" s="14">
        <f>MIN(1,B23/B11)</f>
        <v>0.115338507655443</v>
      </c>
    </row>
    <row r="25">
      <c r="A25" s="4" t="inlineStr">
        <is>
          <t>4. The sites</t>
        </is>
      </c>
      <c r="B25" s="5" t="n"/>
      <c r="C25" s="5" t="n"/>
      <c r="D25" s="5" t="n"/>
      <c r="E25" s="5" t="n"/>
      <c r="F25" s="5" t="n"/>
      <c r="G25" s="5" t="n"/>
      <c r="H25" s="5" t="n"/>
      <c r="I25" s="5" t="n"/>
    </row>
    <row r="26">
      <c r="A26" s="6" t="inlineStr">
        <is>
          <t>Site</t>
        </is>
      </c>
      <c r="B26" s="6" t="inlineStr">
        <is>
          <t>Kind</t>
        </is>
      </c>
      <c r="C26" s="6" t="inlineStr">
        <is>
          <t>Address</t>
        </is>
      </c>
      <c r="D26" s="6" t="inlineStr">
        <is>
          <t>Expected reach of this site (people)</t>
        </is>
      </c>
      <c r="E26" s="6" t="inlineStr">
        <is>
          <t>Weeks to see them all</t>
        </is>
      </c>
      <c r="F26" s="6" t="inlineStr">
        <is>
          <t>Share seen in the weeks you have</t>
        </is>
      </c>
    </row>
    <row r="27">
      <c r="A27" t="inlineStr">
        <is>
          <t>New Braunfels Public Library</t>
        </is>
      </c>
      <c r="B27" t="inlineStr">
        <is>
          <t>Library</t>
        </is>
      </c>
      <c r="C27" t="inlineStr">
        <is>
          <t>700 E Common St, New Braunfels 78130</t>
        </is>
      </c>
      <c r="D27" s="8">
        <f>SUMPRODUCT('Call sheet'!$AE$2:$AE$34,'Call sheet'!$AH$2:$AH$34)</f>
        <v>5672.20154549675</v>
      </c>
      <c r="E27" s="15">
        <f>D27/$B$22</f>
        <v>157.561154041576</v>
      </c>
      <c r="F27" s="10">
        <f>MIN(1,$B$21/E27)</f>
        <v>0.0380804522313714</v>
      </c>
    </row>
    <row r="28">
      <c r="A28" t="inlineStr">
        <is>
          <t>Tye Preston Memorial Library</t>
        </is>
      </c>
      <c r="B28" t="inlineStr">
        <is>
          <t>Library</t>
        </is>
      </c>
      <c r="C28" t="inlineStr">
        <is>
          <t>16311 S Access Rd, Canyon Lake 78133</t>
        </is>
      </c>
      <c r="D28" s="8">
        <f>SUMPRODUCT('Call sheet'!$AE$2:$AE$34,'Call sheet'!$AI$2:$AI$34)</f>
        <v>1679.66375583</v>
      </c>
      <c r="E28" s="15">
        <f>D28/$B$22</f>
        <v>46.6573265508334</v>
      </c>
      <c r="F28" s="10">
        <f>MIN(1,$B$21/E28)</f>
        <v>0.128597166694988</v>
      </c>
    </row>
    <row r="29">
      <c r="A29" t="inlineStr">
        <is>
          <t>Mammen Family Public Library</t>
        </is>
      </c>
      <c r="B29" t="inlineStr">
        <is>
          <t>Library</t>
        </is>
      </c>
      <c r="C29" t="inlineStr">
        <is>
          <t>131 Bulverde Crossing Rd, Bulverde 78163</t>
        </is>
      </c>
      <c r="D29" s="8">
        <f>SUMPRODUCT('Call sheet'!$AE$2:$AE$34,'Call sheet'!$AJ$2:$AJ$34)</f>
        <v>1099.41756581278</v>
      </c>
      <c r="E29" s="15">
        <f>D29/$B$22</f>
        <v>30.5393768281327</v>
      </c>
      <c r="F29" s="10">
        <f>MIN(1,$B$21/E29)</f>
        <v>0.196467663167011</v>
      </c>
    </row>
    <row r="30">
      <c r="A30" t="inlineStr">
        <is>
          <t>Westside Community Center Library</t>
        </is>
      </c>
      <c r="B30" t="inlineStr">
        <is>
          <t>Library</t>
        </is>
      </c>
      <c r="C30" t="inlineStr">
        <is>
          <t>2932 S Ih 35, New Braunfels 78130</t>
        </is>
      </c>
      <c r="D30" s="8">
        <f>SUMPRODUCT('Call sheet'!$AE$2:$AE$34,'Call sheet'!$AK$2:$AK$34)</f>
        <v>5117.20534290752</v>
      </c>
      <c r="E30" s="15">
        <f>D30/$B$22</f>
        <v>142.144592858542</v>
      </c>
      <c r="F30" s="10">
        <f>MIN(1,$B$21/E30)</f>
        <v>0.0422105398407311</v>
      </c>
    </row>
    <row r="31">
      <c r="A31" t="inlineStr">
        <is>
          <t>City Of Garden Ridge Library</t>
        </is>
      </c>
      <c r="B31" t="inlineStr">
        <is>
          <t>Library</t>
        </is>
      </c>
      <c r="C31" t="inlineStr">
        <is>
          <t>9400 Municipal Pkwy, Garden Ridge 78266</t>
        </is>
      </c>
      <c r="D31" s="8">
        <f>SUMPRODUCT('Call sheet'!$AE$2:$AE$34,'Call sheet'!$AL$2:$AL$34)</f>
        <v>987.433240340042</v>
      </c>
      <c r="E31" s="15">
        <f>D31/$B$22</f>
        <v>27.4287011205567</v>
      </c>
      <c r="F31" s="10">
        <f>MIN(1,$B$21/E31)</f>
        <v>0.218748965677534</v>
      </c>
    </row>
    <row r="33">
      <c r="A33" s="2" t="inlineStr">
        <is>
          <t>Sites overlap, so the expected reach of each site adds up to more than the plan's expected reach in B11.</t>
        </is>
      </c>
    </row>
  </sheetData>
  <dataValidations count="1">
    <dataValidation sqref="C6:H6" showDropDown="0" showInputMessage="0" showErrorMessage="0" allowBlank="0" type="list">
      <formula1>"0,1"</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3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s>
  <sheetData>
    <row r="1" ht="45" customHeight="1">
      <c r="A1" s="16" t="inlineStr">
        <is>
          <t>Tract</t>
        </is>
      </c>
      <c r="B1" s="16" t="inlineStr">
        <is>
          <t>Nearest ZIP area</t>
        </is>
      </c>
      <c r="C1" s="16" t="inlineStr">
        <is>
          <t>Population</t>
        </is>
      </c>
      <c r="D1" s="16" t="inlineStr">
        <is>
          <t>Children</t>
        </is>
      </c>
      <c r="E1" s="16" t="inlineStr">
        <is>
          <t>Medicaid range</t>
        </is>
      </c>
      <c r="F1" s="16" t="inlineStr">
        <is>
          <t>Subsidy range</t>
        </is>
      </c>
      <c r="G1" s="16" t="inlineStr">
        <is>
          <t>Coverage gap</t>
        </is>
      </c>
      <c r="H1" s="16" t="inlineStr">
        <is>
          <t>400% and over</t>
        </is>
      </c>
      <c r="I1" s="16" t="inlineStr">
        <is>
          <t>Noncitizen adults</t>
        </is>
      </c>
      <c r="J1" s="16" t="inlineStr">
        <is>
          <t>sd Children</t>
        </is>
      </c>
      <c r="K1" s="16" t="inlineStr">
        <is>
          <t>sd Medicaid range</t>
        </is>
      </c>
      <c r="L1" s="16" t="inlineStr">
        <is>
          <t>sd Subsidy range</t>
        </is>
      </c>
      <c r="M1" s="16" t="inlineStr">
        <is>
          <t>sd Coverage gap</t>
        </is>
      </c>
      <c r="N1" s="16" t="inlineStr">
        <is>
          <t>sd 400% and over</t>
        </is>
      </c>
      <c r="O1" s="16" t="inlineStr">
        <is>
          <t>sd Noncitizen adults</t>
        </is>
      </c>
      <c r="P1" s="16" t="inlineStr">
        <is>
          <t>corr Children / Medicaid range</t>
        </is>
      </c>
      <c r="Q1" s="16" t="inlineStr">
        <is>
          <t>corr Children / Subsidy range</t>
        </is>
      </c>
      <c r="R1" s="16" t="inlineStr">
        <is>
          <t>corr Children / Coverage gap</t>
        </is>
      </c>
      <c r="S1" s="16" t="inlineStr">
        <is>
          <t>corr Children / 400% and over</t>
        </is>
      </c>
      <c r="T1" s="16" t="inlineStr">
        <is>
          <t>corr Children / Noncitizen adults</t>
        </is>
      </c>
      <c r="U1" s="16" t="inlineStr">
        <is>
          <t>corr Medicaid range / Subsidy range</t>
        </is>
      </c>
      <c r="V1" s="16" t="inlineStr">
        <is>
          <t>corr Medicaid range / Coverage gap</t>
        </is>
      </c>
      <c r="W1" s="16" t="inlineStr">
        <is>
          <t>corr Medicaid range / 400% and over</t>
        </is>
      </c>
      <c r="X1" s="16" t="inlineStr">
        <is>
          <t>corr Medicaid range / Noncitizen adults</t>
        </is>
      </c>
      <c r="Y1" s="16" t="inlineStr">
        <is>
          <t>corr Subsidy range / Coverage gap</t>
        </is>
      </c>
      <c r="Z1" s="16" t="inlineStr">
        <is>
          <t>corr Subsidy range / 400% and over</t>
        </is>
      </c>
      <c r="AA1" s="16" t="inlineStr">
        <is>
          <t>corr Subsidy range / Noncitizen adults</t>
        </is>
      </c>
      <c r="AB1" s="16" t="inlineStr">
        <is>
          <t>corr Coverage gap / 400% and over</t>
        </is>
      </c>
      <c r="AC1" s="16" t="inlineStr">
        <is>
          <t>corr Coverage gap / Noncitizen adults</t>
        </is>
      </c>
      <c r="AD1" s="16" t="inlineStr">
        <is>
          <t>corr 400% and over / Noncitizen adults</t>
        </is>
      </c>
      <c r="AE1" s="16" t="inlineStr">
        <is>
          <t>Eligible (who counts)</t>
        </is>
      </c>
      <c r="AF1" s="16" t="inlineStr">
        <is>
          <t>Spread of eligible (sd)</t>
        </is>
      </c>
      <c r="AG1" s="16" t="inlineStr">
        <is>
          <t>Share of the tract reached by the plan (distance-weighted)</t>
        </is>
      </c>
      <c r="AH1" s="16" t="inlineStr">
        <is>
          <t>Reach weight of site 1</t>
        </is>
      </c>
      <c r="AI1" s="16" t="inlineStr">
        <is>
          <t>Reach weight of site 2</t>
        </is>
      </c>
      <c r="AJ1" s="16" t="inlineStr">
        <is>
          <t>Reach weight of site 3</t>
        </is>
      </c>
      <c r="AK1" s="16" t="inlineStr">
        <is>
          <t>Reach weight of site 4</t>
        </is>
      </c>
      <c r="AL1" s="16" t="inlineStr">
        <is>
          <t>Reach weight of site 5</t>
        </is>
      </c>
      <c r="AM1" s="16" t="inlineStr">
        <is>
          <t>Survey's own count (default tiers)</t>
        </is>
      </c>
      <c r="AN1" s="16" t="inlineStr">
        <is>
          <t>Can be ranked</t>
        </is>
      </c>
    </row>
    <row r="2">
      <c r="A2" t="inlineStr">
        <is>
          <t>48091310904</t>
        </is>
      </c>
      <c r="B2" t="inlineStr">
        <is>
          <t>78130</t>
        </is>
      </c>
      <c r="C2" t="n">
        <v>11717</v>
      </c>
      <c r="D2" t="n">
        <v>244.6999969482422</v>
      </c>
      <c r="E2" t="n">
        <v>0</v>
      </c>
      <c r="F2" t="n">
        <v>896.2999877929688</v>
      </c>
      <c r="G2" t="n">
        <v>165.6000061035156</v>
      </c>
      <c r="H2" t="n">
        <v>160.3999938964844</v>
      </c>
      <c r="I2" t="n">
        <v>111</v>
      </c>
      <c r="J2" t="n">
        <v>74.446</v>
      </c>
      <c r="K2" t="n">
        <v>0</v>
      </c>
      <c r="L2" t="n">
        <v>137.744</v>
      </c>
      <c r="M2" t="n">
        <v>25.417</v>
      </c>
      <c r="N2" t="n">
        <v>53.393</v>
      </c>
      <c r="O2" t="n">
        <v>14.354</v>
      </c>
      <c r="P2" t="n">
        <v>0</v>
      </c>
      <c r="Q2" t="n">
        <v>0.082</v>
      </c>
      <c r="R2" t="n">
        <v>0.143</v>
      </c>
      <c r="S2" t="n">
        <v>0.08699999999999999</v>
      </c>
      <c r="T2" t="n">
        <v>0.119</v>
      </c>
      <c r="U2" t="n">
        <v>0</v>
      </c>
      <c r="V2" t="n">
        <v>0</v>
      </c>
      <c r="W2" t="n">
        <v>0</v>
      </c>
      <c r="X2" t="n">
        <v>0</v>
      </c>
      <c r="Y2" t="n">
        <v>0.366</v>
      </c>
      <c r="Z2" t="n">
        <v>0.052</v>
      </c>
      <c r="AA2" t="n">
        <v>0.95</v>
      </c>
      <c r="AB2" t="n">
        <v>0.097</v>
      </c>
      <c r="AC2" t="n">
        <v>0.595</v>
      </c>
      <c r="AD2" t="n">
        <v>0.235</v>
      </c>
      <c r="AE2">
        <f>SUMPRODUCT(Plan!$C$6:$H$6,D2:I2)</f>
        <v>1140.99998474121</v>
      </c>
      <c r="AF2">
        <f>SQRT(MAX(0,Plan!$C$6*J2^2+Plan!$D$6*K2^2+Plan!$E$6*L2^2+Plan!$F$6*M2^2+Plan!$G$6*N2^2+Plan!$H$6*O2^2+2*Plan!$C$6*Plan!$D$6*P2*J2*K2+2*Plan!$C$6*Plan!$E$6*Q2*J2*L2+2*Plan!$C$6*Plan!$F$6*R2*J2*M2+2*Plan!$C$6*Plan!$G$6*S2*J2*N2+2*Plan!$C$6*Plan!$H$6*T2*J2*O2+2*Plan!$D$6*Plan!$E$6*U2*K2*L2+2*Plan!$D$6*Plan!$F$6*V2*K2*M2+2*Plan!$D$6*Plan!$G$6*W2*K2*N2+2*Plan!$D$6*Plan!$H$6*X2*K2*O2+2*Plan!$E$6*Plan!$F$6*Y2*L2*M2+2*Plan!$E$6*Plan!$G$6*Z2*L2*N2+2*Plan!$E$6*Plan!$H$6*AA2*L2*O2+2*Plan!$F$6*Plan!$G$6*AB2*M2*N2+2*Plan!$F$6*Plan!$H$6*AC2*M2*O2+2*Plan!$G$6*Plan!$H$6*AD2*N2*O2))</f>
        <v>161.855963075619</v>
      </c>
      <c r="AG2">
        <f>MIN(1,SUM(AH2:AL2))</f>
        <v>1</v>
      </c>
      <c r="AH2" t="n">
        <v>0.6618000000000001</v>
      </c>
      <c r="AI2" t="n">
        <v>0</v>
      </c>
      <c r="AJ2" t="n">
        <v>0</v>
      </c>
      <c r="AK2" t="n">
        <v>0.3581</v>
      </c>
      <c r="AL2" t="n">
        <v>0</v>
      </c>
      <c r="AM2" t="n">
        <v>1148</v>
      </c>
      <c r="AN2" t="n">
        <v>1</v>
      </c>
    </row>
    <row r="3">
      <c r="A3" t="inlineStr">
        <is>
          <t>48091310502</t>
        </is>
      </c>
      <c r="B3" t="inlineStr">
        <is>
          <t>78130</t>
        </is>
      </c>
      <c r="C3" t="n">
        <v>9789</v>
      </c>
      <c r="D3" t="n">
        <v>188.1000061035156</v>
      </c>
      <c r="E3" t="n">
        <v>0</v>
      </c>
      <c r="F3" t="n">
        <v>840.2999877929688</v>
      </c>
      <c r="G3" t="n">
        <v>255.1999969482422</v>
      </c>
      <c r="H3" t="n">
        <v>249.3000030517578</v>
      </c>
      <c r="I3" t="n">
        <v>1.399999976158142</v>
      </c>
      <c r="J3" t="n">
        <v>54.488</v>
      </c>
      <c r="K3" t="n">
        <v>0</v>
      </c>
      <c r="L3" t="n">
        <v>132.674</v>
      </c>
      <c r="M3" t="n">
        <v>37.195</v>
      </c>
      <c r="N3" t="n">
        <v>57.571</v>
      </c>
      <c r="O3" t="n">
        <v>0.17</v>
      </c>
      <c r="P3" t="n">
        <v>0</v>
      </c>
      <c r="Q3" t="n">
        <v>0.112</v>
      </c>
      <c r="R3" t="n">
        <v>0.153</v>
      </c>
      <c r="S3" t="n">
        <v>0.115</v>
      </c>
      <c r="T3" t="n">
        <v>0.15</v>
      </c>
      <c r="U3" t="n">
        <v>0</v>
      </c>
      <c r="V3" t="n">
        <v>0</v>
      </c>
      <c r="W3" t="n">
        <v>0</v>
      </c>
      <c r="X3" t="n">
        <v>0</v>
      </c>
      <c r="Y3" t="n">
        <v>0.209</v>
      </c>
      <c r="Z3" t="n">
        <v>0.008</v>
      </c>
      <c r="AA3" t="n">
        <v>0.923</v>
      </c>
      <c r="AB3" t="n">
        <v>0.128</v>
      </c>
      <c r="AC3" t="n">
        <v>0.522</v>
      </c>
      <c r="AD3" t="n">
        <v>0.234</v>
      </c>
      <c r="AE3">
        <f>SUMPRODUCT(Plan!$C$6:$H$6,D3:I3)</f>
        <v>1028.39999389648</v>
      </c>
      <c r="AF3">
        <f>SQRT(MAX(0,Plan!$C$6*J3^2+Plan!$D$6*K3^2+Plan!$E$6*L3^2+Plan!$F$6*M3^2+Plan!$G$6*N3^2+Plan!$H$6*O3^2+2*Plan!$C$6*Plan!$D$6*P3*J3*K3+2*Plan!$C$6*Plan!$E$6*Q3*J3*L3+2*Plan!$C$6*Plan!$F$6*R3*J3*M3+2*Plan!$C$6*Plan!$G$6*S3*J3*N3+2*Plan!$C$6*Plan!$H$6*T3*J3*O3+2*Plan!$D$6*Plan!$E$6*U3*K3*L3+2*Plan!$D$6*Plan!$F$6*V3*K3*M3+2*Plan!$D$6*Plan!$G$6*W3*K3*N3+2*Plan!$D$6*Plan!$H$6*X3*K3*O3+2*Plan!$E$6*Plan!$F$6*Y3*L3*M3+2*Plan!$E$6*Plan!$G$6*Z3*L3*N3+2*Plan!$E$6*Plan!$H$6*AA3*L3*O3+2*Plan!$F$6*Plan!$G$6*AB3*M3*N3+2*Plan!$F$6*Plan!$H$6*AC3*M3*O3+2*Plan!$G$6*Plan!$H$6*AD3*N3*O3))</f>
        <v>148.965297919643</v>
      </c>
      <c r="AG3">
        <f>MIN(1,SUM(AH3:AL3))</f>
        <v>1</v>
      </c>
      <c r="AH3" t="n">
        <v>0.9288</v>
      </c>
      <c r="AI3" t="n">
        <v>0</v>
      </c>
      <c r="AJ3" t="n">
        <v>0</v>
      </c>
      <c r="AK3" t="n">
        <v>0.7262999999999999</v>
      </c>
      <c r="AL3" t="n">
        <v>0</v>
      </c>
      <c r="AM3" t="n">
        <v>668.2999877929688</v>
      </c>
      <c r="AN3" t="n">
        <v>1</v>
      </c>
    </row>
    <row r="4">
      <c r="A4" t="inlineStr">
        <is>
          <t>48091310401</t>
        </is>
      </c>
      <c r="B4" t="inlineStr">
        <is>
          <t>78130</t>
        </is>
      </c>
      <c r="C4" t="n">
        <v>5467</v>
      </c>
      <c r="D4" t="n">
        <v>174.3999938964844</v>
      </c>
      <c r="E4" t="n">
        <v>0</v>
      </c>
      <c r="F4" t="n">
        <v>435.2000122070312</v>
      </c>
      <c r="G4" t="n">
        <v>41.70000076293945</v>
      </c>
      <c r="H4" t="n">
        <v>127.3000030517578</v>
      </c>
      <c r="I4" t="n">
        <v>558.0999755859375</v>
      </c>
      <c r="J4" t="n">
        <v>29.615</v>
      </c>
      <c r="K4" t="n">
        <v>0</v>
      </c>
      <c r="L4" t="n">
        <v>38.645</v>
      </c>
      <c r="M4" t="n">
        <v>4.261</v>
      </c>
      <c r="N4" t="n">
        <v>18.953</v>
      </c>
      <c r="O4" t="n">
        <v>43.478</v>
      </c>
      <c r="P4" t="n">
        <v>0</v>
      </c>
      <c r="Q4" t="n">
        <v>0.136</v>
      </c>
      <c r="R4" t="n">
        <v>0.147</v>
      </c>
      <c r="S4" t="n">
        <v>0.098</v>
      </c>
      <c r="T4" t="n">
        <v>0.156</v>
      </c>
      <c r="U4" t="n">
        <v>0</v>
      </c>
      <c r="V4" t="n">
        <v>0</v>
      </c>
      <c r="W4" t="n">
        <v>0</v>
      </c>
      <c r="X4" t="n">
        <v>0</v>
      </c>
      <c r="Y4" t="n">
        <v>0.49</v>
      </c>
      <c r="Z4" t="n">
        <v>0.11</v>
      </c>
      <c r="AA4" t="n">
        <v>0.953</v>
      </c>
      <c r="AB4" t="n">
        <v>0.131</v>
      </c>
      <c r="AC4" t="n">
        <v>0.666</v>
      </c>
      <c r="AD4" t="n">
        <v>0.322</v>
      </c>
      <c r="AE4">
        <f>SUMPRODUCT(Plan!$C$6:$H$6,D4:I4)</f>
        <v>609.600006103516</v>
      </c>
      <c r="AF4">
        <f>SQRT(MAX(0,Plan!$C$6*J4^2+Plan!$D$6*K4^2+Plan!$E$6*L4^2+Plan!$F$6*M4^2+Plan!$G$6*N4^2+Plan!$H$6*O4^2+2*Plan!$C$6*Plan!$D$6*P4*J4*K4+2*Plan!$C$6*Plan!$E$6*Q4*J4*L4+2*Plan!$C$6*Plan!$F$6*R4*J4*M4+2*Plan!$C$6*Plan!$G$6*S4*J4*N4+2*Plan!$C$6*Plan!$H$6*T4*J4*O4+2*Plan!$D$6*Plan!$E$6*U4*K4*L4+2*Plan!$D$6*Plan!$F$6*V4*K4*M4+2*Plan!$D$6*Plan!$G$6*W4*K4*N4+2*Plan!$D$6*Plan!$H$6*X4*K4*O4+2*Plan!$E$6*Plan!$F$6*Y4*L4*M4+2*Plan!$E$6*Plan!$G$6*Z4*L4*N4+2*Plan!$E$6*Plan!$H$6*AA4*L4*O4+2*Plan!$F$6*Plan!$G$6*AB4*M4*N4+2*Plan!$F$6*Plan!$H$6*AC4*M4*O4+2*Plan!$G$6*Plan!$H$6*AD4*N4*O4))</f>
        <v>51.7859106862089</v>
      </c>
      <c r="AG4">
        <f>MIN(1,SUM(AH4:AL4))</f>
        <v>1</v>
      </c>
      <c r="AH4" t="n">
        <v>0.8838</v>
      </c>
      <c r="AI4" t="n">
        <v>0</v>
      </c>
      <c r="AJ4" t="n">
        <v>0</v>
      </c>
      <c r="AK4" t="n">
        <v>0.9983</v>
      </c>
      <c r="AL4" t="n">
        <v>0.242</v>
      </c>
      <c r="AM4" t="n">
        <v>351.5</v>
      </c>
      <c r="AN4" t="n">
        <v>1</v>
      </c>
    </row>
    <row r="5">
      <c r="A5" t="inlineStr">
        <is>
          <t>48091310503</t>
        </is>
      </c>
      <c r="B5" t="inlineStr">
        <is>
          <t>78130</t>
        </is>
      </c>
      <c r="C5" t="n">
        <v>7331</v>
      </c>
      <c r="D5" t="n">
        <v>142.3999938964844</v>
      </c>
      <c r="E5" t="n">
        <v>0</v>
      </c>
      <c r="F5" t="n">
        <v>441.8999938964844</v>
      </c>
      <c r="G5" t="n">
        <v>150.1000061035156</v>
      </c>
      <c r="H5" t="n">
        <v>128.8999938964844</v>
      </c>
      <c r="I5" t="n">
        <v>31.89999961853027</v>
      </c>
      <c r="J5" t="n">
        <v>40.903</v>
      </c>
      <c r="K5" t="n">
        <v>0</v>
      </c>
      <c r="L5" t="n">
        <v>69.73999999999999</v>
      </c>
      <c r="M5" t="n">
        <v>24.44</v>
      </c>
      <c r="N5" t="n">
        <v>42.442</v>
      </c>
      <c r="O5" t="n">
        <v>4.095</v>
      </c>
      <c r="P5" t="n">
        <v>0</v>
      </c>
      <c r="Q5" t="n">
        <v>0.161</v>
      </c>
      <c r="R5" t="n">
        <v>0.149</v>
      </c>
      <c r="S5" t="n">
        <v>0.08500000000000001</v>
      </c>
      <c r="T5" t="n">
        <v>0.187</v>
      </c>
      <c r="U5" t="n">
        <v>0</v>
      </c>
      <c r="V5" t="n">
        <v>0</v>
      </c>
      <c r="W5" t="n">
        <v>0</v>
      </c>
      <c r="X5" t="n">
        <v>0</v>
      </c>
      <c r="Y5" t="n">
        <v>0.353</v>
      </c>
      <c r="Z5" t="n">
        <v>0.044</v>
      </c>
      <c r="AA5" t="n">
        <v>0.894</v>
      </c>
      <c r="AB5" t="n">
        <v>0.106</v>
      </c>
      <c r="AC5" t="n">
        <v>0.677</v>
      </c>
      <c r="AD5" t="n">
        <v>0.303</v>
      </c>
      <c r="AE5">
        <f>SUMPRODUCT(Plan!$C$6:$H$6,D5:I5)</f>
        <v>584.299987792969</v>
      </c>
      <c r="AF5">
        <f>SQRT(MAX(0,Plan!$C$6*J5^2+Plan!$D$6*K5^2+Plan!$E$6*L5^2+Plan!$F$6*M5^2+Plan!$G$6*N5^2+Plan!$H$6*O5^2+2*Plan!$C$6*Plan!$D$6*P5*J5*K5+2*Plan!$C$6*Plan!$E$6*Q5*J5*L5+2*Plan!$C$6*Plan!$F$6*R5*J5*M5+2*Plan!$C$6*Plan!$G$6*S5*J5*N5+2*Plan!$C$6*Plan!$H$6*T5*J5*O5+2*Plan!$D$6*Plan!$E$6*U5*K5*L5+2*Plan!$D$6*Plan!$F$6*V5*K5*M5+2*Plan!$D$6*Plan!$G$6*W5*K5*N5+2*Plan!$D$6*Plan!$H$6*X5*K5*O5+2*Plan!$E$6*Plan!$F$6*Y5*L5*M5+2*Plan!$E$6*Plan!$G$6*Z5*L5*N5+2*Plan!$E$6*Plan!$H$6*AA5*L5*O5+2*Plan!$F$6*Plan!$G$6*AB5*M5*N5+2*Plan!$F$6*Plan!$H$6*AC5*M5*O5+2*Plan!$G$6*Plan!$H$6*AD5*N5*O5))</f>
        <v>86.3438024981527</v>
      </c>
      <c r="AG5">
        <f>MIN(1,SUM(AH5:AL5))</f>
        <v>1</v>
      </c>
      <c r="AH5" t="n">
        <v>0.9665</v>
      </c>
      <c r="AI5" t="n">
        <v>0.1786</v>
      </c>
      <c r="AJ5" t="n">
        <v>0</v>
      </c>
      <c r="AK5" t="n">
        <v>0.7279</v>
      </c>
      <c r="AL5" t="n">
        <v>0</v>
      </c>
      <c r="AM5" t="n">
        <v>1008.299987792969</v>
      </c>
      <c r="AN5" t="n">
        <v>0</v>
      </c>
    </row>
    <row r="6">
      <c r="A6" t="inlineStr">
        <is>
          <t>48091310200</t>
        </is>
      </c>
      <c r="B6" t="inlineStr">
        <is>
          <t>78130</t>
        </is>
      </c>
      <c r="C6" t="n">
        <v>3465</v>
      </c>
      <c r="D6" t="n">
        <v>50.70000076293945</v>
      </c>
      <c r="E6" t="n">
        <v>0</v>
      </c>
      <c r="F6" t="n">
        <v>435.3999938964844</v>
      </c>
      <c r="G6" t="n">
        <v>57.09999847412109</v>
      </c>
      <c r="H6" t="n">
        <v>81.5</v>
      </c>
      <c r="I6" t="n">
        <v>51.70000076293945</v>
      </c>
      <c r="J6" t="n">
        <v>12.553</v>
      </c>
      <c r="K6" t="n">
        <v>0</v>
      </c>
      <c r="L6" t="n">
        <v>57.056</v>
      </c>
      <c r="M6" t="n">
        <v>8.458</v>
      </c>
      <c r="N6" t="n">
        <v>18.301</v>
      </c>
      <c r="O6" t="n">
        <v>5.886</v>
      </c>
      <c r="P6" t="n">
        <v>0</v>
      </c>
      <c r="Q6" t="n">
        <v>0.105</v>
      </c>
      <c r="R6" t="n">
        <v>0.164</v>
      </c>
      <c r="S6" t="n">
        <v>0.334</v>
      </c>
      <c r="T6" t="n">
        <v>0.146</v>
      </c>
      <c r="U6" t="n">
        <v>0</v>
      </c>
      <c r="V6" t="n">
        <v>0</v>
      </c>
      <c r="W6" t="n">
        <v>0</v>
      </c>
      <c r="X6" t="n">
        <v>0</v>
      </c>
      <c r="Y6" t="n">
        <v>0.274</v>
      </c>
      <c r="Z6" t="n">
        <v>0.122</v>
      </c>
      <c r="AA6" t="n">
        <v>0.968</v>
      </c>
      <c r="AB6" t="n">
        <v>0.098</v>
      </c>
      <c r="AC6" t="n">
        <v>0.467</v>
      </c>
      <c r="AD6" t="n">
        <v>0.265</v>
      </c>
      <c r="AE6">
        <f>SUMPRODUCT(Plan!$C$6:$H$6,D6:I6)</f>
        <v>486.099994659424</v>
      </c>
      <c r="AF6">
        <f>SQRT(MAX(0,Plan!$C$6*J6^2+Plan!$D$6*K6^2+Plan!$E$6*L6^2+Plan!$F$6*M6^2+Plan!$G$6*N6^2+Plan!$H$6*O6^2+2*Plan!$C$6*Plan!$D$6*P6*J6*K6+2*Plan!$C$6*Plan!$E$6*Q6*J6*L6+2*Plan!$C$6*Plan!$F$6*R6*J6*M6+2*Plan!$C$6*Plan!$G$6*S6*J6*N6+2*Plan!$C$6*Plan!$H$6*T6*J6*O6+2*Plan!$D$6*Plan!$E$6*U6*K6*L6+2*Plan!$D$6*Plan!$F$6*V6*K6*M6+2*Plan!$D$6*Plan!$G$6*W6*K6*N6+2*Plan!$D$6*Plan!$H$6*X6*K6*O6+2*Plan!$E$6*Plan!$F$6*Y6*L6*M6+2*Plan!$E$6*Plan!$G$6*Z6*L6*N6+2*Plan!$E$6*Plan!$H$6*AA6*L6*O6+2*Plan!$F$6*Plan!$G$6*AB6*M6*N6+2*Plan!$F$6*Plan!$H$6*AC6*M6*O6+2*Plan!$G$6*Plan!$H$6*AD6*N6*O6))</f>
        <v>59.6939861148508</v>
      </c>
      <c r="AG6">
        <f>MIN(1,SUM(AH6:AL6))</f>
        <v>1</v>
      </c>
      <c r="AH6" t="n">
        <v>0.9976</v>
      </c>
      <c r="AI6" t="n">
        <v>0.1474</v>
      </c>
      <c r="AJ6" t="n">
        <v>0</v>
      </c>
      <c r="AK6" t="n">
        <v>0.8729</v>
      </c>
      <c r="AL6" t="n">
        <v>0</v>
      </c>
      <c r="AM6" t="n">
        <v>508.1000061035156</v>
      </c>
      <c r="AN6" t="n">
        <v>1</v>
      </c>
    </row>
    <row r="7">
      <c r="A7" t="inlineStr">
        <is>
          <t>48091310804</t>
        </is>
      </c>
      <c r="B7" t="inlineStr">
        <is>
          <t>78132</t>
        </is>
      </c>
      <c r="C7" t="n">
        <v>6750</v>
      </c>
      <c r="D7" t="n">
        <v>166.6000061035156</v>
      </c>
      <c r="E7" t="n">
        <v>0</v>
      </c>
      <c r="F7" t="n">
        <v>295.3999938964844</v>
      </c>
      <c r="G7" t="n">
        <v>68.90000152587891</v>
      </c>
      <c r="H7" t="n">
        <v>99</v>
      </c>
      <c r="I7" t="n">
        <v>228.1000061035156</v>
      </c>
      <c r="J7" t="n">
        <v>49.99</v>
      </c>
      <c r="K7" t="n">
        <v>0</v>
      </c>
      <c r="L7" t="n">
        <v>55.761</v>
      </c>
      <c r="M7" t="n">
        <v>9.824</v>
      </c>
      <c r="N7" t="n">
        <v>31.295</v>
      </c>
      <c r="O7" t="n">
        <v>33.084</v>
      </c>
      <c r="P7" t="n">
        <v>0</v>
      </c>
      <c r="Q7" t="n">
        <v>0.116</v>
      </c>
      <c r="R7" t="n">
        <v>0.179</v>
      </c>
      <c r="S7" t="n">
        <v>0.144</v>
      </c>
      <c r="T7" t="n">
        <v>0.159</v>
      </c>
      <c r="U7" t="n">
        <v>0</v>
      </c>
      <c r="V7" t="n">
        <v>0</v>
      </c>
      <c r="W7" t="n">
        <v>0</v>
      </c>
      <c r="X7" t="n">
        <v>0</v>
      </c>
      <c r="Y7" t="n">
        <v>0.253</v>
      </c>
      <c r="Z7" t="n">
        <v>0.041</v>
      </c>
      <c r="AA7" t="n">
        <v>0.9419999999999999</v>
      </c>
      <c r="AB7" t="n">
        <v>0.106</v>
      </c>
      <c r="AC7" t="n">
        <v>0.46</v>
      </c>
      <c r="AD7" t="n">
        <v>0.306</v>
      </c>
      <c r="AE7">
        <f>SUMPRODUCT(Plan!$C$6:$H$6,D7:I7)</f>
        <v>462</v>
      </c>
      <c r="AF7">
        <f>SQRT(MAX(0,Plan!$C$6*J7^2+Plan!$D$6*K7^2+Plan!$E$6*L7^2+Plan!$F$6*M7^2+Plan!$G$6*N7^2+Plan!$H$6*O7^2+2*Plan!$C$6*Plan!$D$6*P7*J7*K7+2*Plan!$C$6*Plan!$E$6*Q7*J7*L7+2*Plan!$C$6*Plan!$F$6*R7*J7*M7+2*Plan!$C$6*Plan!$G$6*S7*J7*N7+2*Plan!$C$6*Plan!$H$6*T7*J7*O7+2*Plan!$D$6*Plan!$E$6*U7*K7*L7+2*Plan!$D$6*Plan!$F$6*V7*K7*M7+2*Plan!$D$6*Plan!$G$6*W7*K7*N7+2*Plan!$D$6*Plan!$H$6*X7*K7*O7+2*Plan!$E$6*Plan!$F$6*Y7*L7*M7+2*Plan!$E$6*Plan!$G$6*Z7*L7*N7+2*Plan!$E$6*Plan!$H$6*AA7*L7*O7+2*Plan!$F$6*Plan!$G$6*AB7*M7*N7+2*Plan!$F$6*Plan!$H$6*AC7*M7*O7+2*Plan!$G$6*Plan!$H$6*AD7*N7*O7))</f>
        <v>79.0884786519503</v>
      </c>
      <c r="AG7">
        <f>MIN(1,SUM(AH7:AL7))</f>
        <v>1</v>
      </c>
      <c r="AH7" t="n">
        <v>0.3767</v>
      </c>
      <c r="AI7" t="n">
        <v>0</v>
      </c>
      <c r="AJ7" t="n">
        <v>0</v>
      </c>
      <c r="AK7" t="n">
        <v>0.6853</v>
      </c>
      <c r="AL7" t="n">
        <v>0.6924</v>
      </c>
      <c r="AM7" t="n">
        <v>216.1999969482422</v>
      </c>
      <c r="AN7" t="n">
        <v>0</v>
      </c>
    </row>
    <row r="8">
      <c r="A8" t="inlineStr">
        <is>
          <t>48091310406</t>
        </is>
      </c>
      <c r="B8" t="inlineStr">
        <is>
          <t>78130</t>
        </is>
      </c>
      <c r="C8" t="n">
        <v>7125</v>
      </c>
      <c r="D8" t="n">
        <v>166.3999938964844</v>
      </c>
      <c r="E8" t="n">
        <v>0</v>
      </c>
      <c r="F8" t="n">
        <v>265.6000061035156</v>
      </c>
      <c r="G8" t="n">
        <v>65.40000152587891</v>
      </c>
      <c r="H8" t="n">
        <v>289.8999938964844</v>
      </c>
      <c r="I8" t="n">
        <v>0.699999988079071</v>
      </c>
      <c r="J8" t="n">
        <v>50.375</v>
      </c>
      <c r="K8" t="n">
        <v>0</v>
      </c>
      <c r="L8" t="n">
        <v>61.868</v>
      </c>
      <c r="M8" t="n">
        <v>10.42</v>
      </c>
      <c r="N8" t="n">
        <v>52.689</v>
      </c>
      <c r="O8" t="n">
        <v>0.105</v>
      </c>
      <c r="P8" t="n">
        <v>0</v>
      </c>
      <c r="Q8" t="n">
        <v>0.102</v>
      </c>
      <c r="R8" t="n">
        <v>0.194</v>
      </c>
      <c r="S8" t="n">
        <v>0.055</v>
      </c>
      <c r="T8" t="n">
        <v>0.138</v>
      </c>
      <c r="U8" t="n">
        <v>0</v>
      </c>
      <c r="V8" t="n">
        <v>0</v>
      </c>
      <c r="W8" t="n">
        <v>0</v>
      </c>
      <c r="X8" t="n">
        <v>0</v>
      </c>
      <c r="Y8" t="n">
        <v>0.201</v>
      </c>
      <c r="Z8" t="n">
        <v>0.02</v>
      </c>
      <c r="AA8" t="n">
        <v>0.905</v>
      </c>
      <c r="AB8" t="n">
        <v>0.073</v>
      </c>
      <c r="AC8" t="n">
        <v>0.391</v>
      </c>
      <c r="AD8" t="n">
        <v>0.401</v>
      </c>
      <c r="AE8">
        <f>SUMPRODUCT(Plan!$C$6:$H$6,D8:I8)</f>
        <v>432</v>
      </c>
      <c r="AF8">
        <f>SQRT(MAX(0,Plan!$C$6*J8^2+Plan!$D$6*K8^2+Plan!$E$6*L8^2+Plan!$F$6*M8^2+Plan!$G$6*N8^2+Plan!$H$6*O8^2+2*Plan!$C$6*Plan!$D$6*P8*J8*K8+2*Plan!$C$6*Plan!$E$6*Q8*J8*L8+2*Plan!$C$6*Plan!$F$6*R8*J8*M8+2*Plan!$C$6*Plan!$G$6*S8*J8*N8+2*Plan!$C$6*Plan!$H$6*T8*J8*O8+2*Plan!$D$6*Plan!$E$6*U8*K8*L8+2*Plan!$D$6*Plan!$F$6*V8*K8*M8+2*Plan!$D$6*Plan!$G$6*W8*K8*N8+2*Plan!$D$6*Plan!$H$6*X8*K8*O8+2*Plan!$E$6*Plan!$F$6*Y8*L8*M8+2*Plan!$E$6*Plan!$G$6*Z8*L8*N8+2*Plan!$E$6*Plan!$H$6*AA8*L8*O8+2*Plan!$F$6*Plan!$G$6*AB8*M8*N8+2*Plan!$F$6*Plan!$H$6*AC8*M8*O8+2*Plan!$G$6*Plan!$H$6*AD8*N8*O8))</f>
        <v>83.6724360288381</v>
      </c>
      <c r="AG8">
        <f>MIN(1,SUM(AH8:AL8))</f>
        <v>1</v>
      </c>
      <c r="AH8" t="n">
        <v>0.8152</v>
      </c>
      <c r="AI8" t="n">
        <v>0</v>
      </c>
      <c r="AJ8" t="n">
        <v>0</v>
      </c>
      <c r="AK8" t="n">
        <v>0.9933</v>
      </c>
      <c r="AL8" t="n">
        <v>0.2686</v>
      </c>
      <c r="AM8" t="n">
        <v>314.6000061035156</v>
      </c>
      <c r="AN8" t="n">
        <v>0</v>
      </c>
    </row>
    <row r="9">
      <c r="A9" t="inlineStr">
        <is>
          <t>48091310501</t>
        </is>
      </c>
      <c r="B9" t="inlineStr">
        <is>
          <t>78130</t>
        </is>
      </c>
      <c r="C9" t="n">
        <v>4556</v>
      </c>
      <c r="D9" t="n">
        <v>111.5</v>
      </c>
      <c r="E9" t="n">
        <v>0</v>
      </c>
      <c r="F9" t="n">
        <v>281.7000122070312</v>
      </c>
      <c r="G9" t="n">
        <v>115.0999984741211</v>
      </c>
      <c r="H9" t="n">
        <v>67.19999694824219</v>
      </c>
      <c r="I9" t="n">
        <v>54.29999923706055</v>
      </c>
      <c r="J9" t="n">
        <v>26.96</v>
      </c>
      <c r="K9" t="n">
        <v>0</v>
      </c>
      <c r="L9" t="n">
        <v>43.235</v>
      </c>
      <c r="M9" t="n">
        <v>16.13</v>
      </c>
      <c r="N9" t="n">
        <v>18.583</v>
      </c>
      <c r="O9" t="n">
        <v>6.45</v>
      </c>
      <c r="P9" t="n">
        <v>0</v>
      </c>
      <c r="Q9" t="n">
        <v>0.168</v>
      </c>
      <c r="R9" t="n">
        <v>0.17</v>
      </c>
      <c r="S9" t="n">
        <v>0.108</v>
      </c>
      <c r="T9" t="n">
        <v>0.207</v>
      </c>
      <c r="U9" t="n">
        <v>0</v>
      </c>
      <c r="V9" t="n">
        <v>0</v>
      </c>
      <c r="W9" t="n">
        <v>0</v>
      </c>
      <c r="X9" t="n">
        <v>0</v>
      </c>
      <c r="Y9" t="n">
        <v>0.291</v>
      </c>
      <c r="Z9" t="n">
        <v>0.109</v>
      </c>
      <c r="AA9" t="n">
        <v>0.899</v>
      </c>
      <c r="AB9" t="n">
        <v>0.163</v>
      </c>
      <c r="AC9" t="n">
        <v>0.65</v>
      </c>
      <c r="AD9" t="n">
        <v>0.314</v>
      </c>
      <c r="AE9">
        <f>SUMPRODUCT(Plan!$C$6:$H$6,D9:I9)</f>
        <v>393.200012207031</v>
      </c>
      <c r="AF9">
        <f>SQRT(MAX(0,Plan!$C$6*J9^2+Plan!$D$6*K9^2+Plan!$E$6*L9^2+Plan!$F$6*M9^2+Plan!$G$6*N9^2+Plan!$H$6*O9^2+2*Plan!$C$6*Plan!$D$6*P9*J9*K9+2*Plan!$C$6*Plan!$E$6*Q9*J9*L9+2*Plan!$C$6*Plan!$F$6*R9*J9*M9+2*Plan!$C$6*Plan!$G$6*S9*J9*N9+2*Plan!$C$6*Plan!$H$6*T9*J9*O9+2*Plan!$D$6*Plan!$E$6*U9*K9*L9+2*Plan!$D$6*Plan!$F$6*V9*K9*M9+2*Plan!$D$6*Plan!$G$6*W9*K9*N9+2*Plan!$D$6*Plan!$H$6*X9*K9*O9+2*Plan!$E$6*Plan!$F$6*Y9*L9*M9+2*Plan!$E$6*Plan!$G$6*Z9*L9*N9+2*Plan!$E$6*Plan!$H$6*AA9*L9*O9+2*Plan!$F$6*Plan!$G$6*AB9*M9*N9+2*Plan!$F$6*Plan!$H$6*AC9*M9*O9+2*Plan!$G$6*Plan!$H$6*AD9*N9*O9))</f>
        <v>54.6603482114778</v>
      </c>
      <c r="AG9">
        <f>MIN(1,SUM(AH9:AL9))</f>
        <v>1</v>
      </c>
      <c r="AH9" t="n">
        <v>0.9922</v>
      </c>
      <c r="AI9" t="n">
        <v>0</v>
      </c>
      <c r="AJ9" t="n">
        <v>0</v>
      </c>
      <c r="AK9" t="n">
        <v>0.8596</v>
      </c>
      <c r="AL9" t="n">
        <v>0</v>
      </c>
      <c r="AM9" t="n">
        <v>223</v>
      </c>
      <c r="AN9" t="n">
        <v>1</v>
      </c>
    </row>
    <row r="10">
      <c r="A10" t="inlineStr">
        <is>
          <t>48091310404</t>
        </is>
      </c>
      <c r="B10" t="inlineStr">
        <is>
          <t>78130</t>
        </is>
      </c>
      <c r="C10" t="n">
        <v>4821</v>
      </c>
      <c r="D10" t="n">
        <v>120.8000030517578</v>
      </c>
      <c r="E10" t="n">
        <v>0</v>
      </c>
      <c r="F10" t="n">
        <v>261.1000061035156</v>
      </c>
      <c r="G10" t="n">
        <v>22.5</v>
      </c>
      <c r="H10" t="n">
        <v>116</v>
      </c>
      <c r="I10" t="n">
        <v>179.1000061035156</v>
      </c>
      <c r="J10" t="n">
        <v>28.604</v>
      </c>
      <c r="K10" t="n">
        <v>0</v>
      </c>
      <c r="L10" t="n">
        <v>35.045</v>
      </c>
      <c r="M10" t="n">
        <v>2.712</v>
      </c>
      <c r="N10" t="n">
        <v>32.218</v>
      </c>
      <c r="O10" t="n">
        <v>20.931</v>
      </c>
      <c r="P10" t="n">
        <v>0</v>
      </c>
      <c r="Q10" t="n">
        <v>0.17</v>
      </c>
      <c r="R10" t="n">
        <v>0.203</v>
      </c>
      <c r="S10" t="n">
        <v>0.125</v>
      </c>
      <c r="T10" t="n">
        <v>0.208</v>
      </c>
      <c r="U10" t="n">
        <v>0</v>
      </c>
      <c r="V10" t="n">
        <v>0</v>
      </c>
      <c r="W10" t="n">
        <v>0</v>
      </c>
      <c r="X10" t="n">
        <v>0</v>
      </c>
      <c r="Y10" t="n">
        <v>0.356</v>
      </c>
      <c r="Z10" t="n">
        <v>0.155</v>
      </c>
      <c r="AA10" t="n">
        <v>0.917</v>
      </c>
      <c r="AB10" t="n">
        <v>0.091</v>
      </c>
      <c r="AC10" t="n">
        <v>0.467</v>
      </c>
      <c r="AD10" t="n">
        <v>0.513</v>
      </c>
      <c r="AE10">
        <f>SUMPRODUCT(Plan!$C$6:$H$6,D10:I10)</f>
        <v>381.900009155273</v>
      </c>
      <c r="AF10">
        <f>SQRT(MAX(0,Plan!$C$6*J10^2+Plan!$D$6*K10^2+Plan!$E$6*L10^2+Plan!$F$6*M10^2+Plan!$G$6*N10^2+Plan!$H$6*O10^2+2*Plan!$C$6*Plan!$D$6*P10*J10*K10+2*Plan!$C$6*Plan!$E$6*Q10*J10*L10+2*Plan!$C$6*Plan!$F$6*R10*J10*M10+2*Plan!$C$6*Plan!$G$6*S10*J10*N10+2*Plan!$C$6*Plan!$H$6*T10*J10*O10+2*Plan!$D$6*Plan!$E$6*U10*K10*L10+2*Plan!$D$6*Plan!$F$6*V10*K10*M10+2*Plan!$D$6*Plan!$G$6*W10*K10*N10+2*Plan!$D$6*Plan!$H$6*X10*K10*O10+2*Plan!$E$6*Plan!$F$6*Y10*L10*M10+2*Plan!$E$6*Plan!$G$6*Z10*L10*N10+2*Plan!$E$6*Plan!$H$6*AA10*L10*O10+2*Plan!$F$6*Plan!$G$6*AB10*M10*N10+2*Plan!$F$6*Plan!$H$6*AC10*M10*O10+2*Plan!$G$6*Plan!$H$6*AD10*N10*O10))</f>
        <v>48.8586336505638</v>
      </c>
      <c r="AG10">
        <f>MIN(1,SUM(AH10:AL10))</f>
        <v>1</v>
      </c>
      <c r="AH10" t="n">
        <v>0.9355</v>
      </c>
      <c r="AI10" t="n">
        <v>0</v>
      </c>
      <c r="AJ10" t="n">
        <v>0</v>
      </c>
      <c r="AK10" t="n">
        <v>0.9254</v>
      </c>
      <c r="AL10" t="n">
        <v>0</v>
      </c>
      <c r="AM10" t="n">
        <v>499.1000061035156</v>
      </c>
      <c r="AN10" t="n">
        <v>1</v>
      </c>
    </row>
    <row r="11">
      <c r="A11" t="inlineStr">
        <is>
          <t>48091310702</t>
        </is>
      </c>
      <c r="B11" t="inlineStr">
        <is>
          <t>78070</t>
        </is>
      </c>
      <c r="C11" t="n">
        <v>6801</v>
      </c>
      <c r="D11" t="n">
        <v>114.5</v>
      </c>
      <c r="E11" t="n">
        <v>0</v>
      </c>
      <c r="F11" t="n">
        <v>258.6000061035156</v>
      </c>
      <c r="G11" t="n">
        <v>0</v>
      </c>
      <c r="H11" t="n">
        <v>175.5</v>
      </c>
      <c r="I11" t="n">
        <v>0.5</v>
      </c>
      <c r="J11" t="n">
        <v>34.16</v>
      </c>
      <c r="K11" t="n">
        <v>0</v>
      </c>
      <c r="L11" t="n">
        <v>51.475</v>
      </c>
      <c r="M11" t="n">
        <v>0</v>
      </c>
      <c r="N11" t="n">
        <v>58.401</v>
      </c>
      <c r="O11" t="n">
        <v>0.08400000000000001</v>
      </c>
      <c r="P11" t="n">
        <v>0</v>
      </c>
      <c r="Q11" t="n">
        <v>0.139</v>
      </c>
      <c r="R11" t="n">
        <v>0</v>
      </c>
      <c r="S11" t="n">
        <v>0.184</v>
      </c>
      <c r="T11" t="n">
        <v>0.158</v>
      </c>
      <c r="U11" t="n">
        <v>0</v>
      </c>
      <c r="V11" t="n">
        <v>0</v>
      </c>
      <c r="W11" t="n">
        <v>0</v>
      </c>
      <c r="X11" t="n">
        <v>0</v>
      </c>
      <c r="Y11" t="n">
        <v>0</v>
      </c>
      <c r="Z11" t="n">
        <v>0.083</v>
      </c>
      <c r="AA11" t="n">
        <v>0.88</v>
      </c>
      <c r="AB11" t="n">
        <v>0</v>
      </c>
      <c r="AC11" t="n">
        <v>0</v>
      </c>
      <c r="AD11" t="n">
        <v>0.543</v>
      </c>
      <c r="AE11">
        <f>SUMPRODUCT(Plan!$C$6:$H$6,D11:I11)</f>
        <v>373.100006103516</v>
      </c>
      <c r="AF11">
        <f>SQRT(MAX(0,Plan!$C$6*J11^2+Plan!$D$6*K11^2+Plan!$E$6*L11^2+Plan!$F$6*M11^2+Plan!$G$6*N11^2+Plan!$H$6*O11^2+2*Plan!$C$6*Plan!$D$6*P11*J11*K11+2*Plan!$C$6*Plan!$E$6*Q11*J11*L11+2*Plan!$C$6*Plan!$F$6*R11*J11*M11+2*Plan!$C$6*Plan!$G$6*S11*J11*N11+2*Plan!$C$6*Plan!$H$6*T11*J11*O11+2*Plan!$D$6*Plan!$E$6*U11*K11*L11+2*Plan!$D$6*Plan!$F$6*V11*K11*M11+2*Plan!$D$6*Plan!$G$6*W11*K11*N11+2*Plan!$D$6*Plan!$H$6*X11*K11*O11+2*Plan!$E$6*Plan!$F$6*Y11*L11*M11+2*Plan!$E$6*Plan!$G$6*Z11*L11*N11+2*Plan!$E$6*Plan!$H$6*AA11*L11*O11+2*Plan!$F$6*Plan!$G$6*AB11*M11*N11+2*Plan!$F$6*Plan!$H$6*AC11*M11*O11+2*Plan!$G$6*Plan!$H$6*AD11*N11*O11))</f>
        <v>65.6156424414179</v>
      </c>
      <c r="AG11">
        <f>MIN(1,SUM(AH11:AL11))</f>
        <v>0.6439</v>
      </c>
      <c r="AH11" t="n">
        <v>0</v>
      </c>
      <c r="AI11" t="n">
        <v>0</v>
      </c>
      <c r="AJ11" t="n">
        <v>0.6439</v>
      </c>
      <c r="AK11" t="n">
        <v>0</v>
      </c>
      <c r="AL11" t="n">
        <v>0</v>
      </c>
      <c r="AM11" t="n">
        <v>620.7000122070312</v>
      </c>
      <c r="AN11" t="n">
        <v>0</v>
      </c>
    </row>
    <row r="12">
      <c r="A12" t="inlineStr">
        <is>
          <t>48091310302</t>
        </is>
      </c>
      <c r="B12" t="inlineStr">
        <is>
          <t>78130</t>
        </is>
      </c>
      <c r="C12" t="n">
        <v>5197</v>
      </c>
      <c r="D12" t="n">
        <v>117.3000030517578</v>
      </c>
      <c r="E12" t="n">
        <v>0</v>
      </c>
      <c r="F12" t="n">
        <v>246.8999938964844</v>
      </c>
      <c r="G12" t="n">
        <v>54.40000152587891</v>
      </c>
      <c r="H12" t="n">
        <v>111.5999984741211</v>
      </c>
      <c r="I12" t="n">
        <v>0.6000000238418579</v>
      </c>
      <c r="J12" t="n">
        <v>28.635</v>
      </c>
      <c r="K12" t="n">
        <v>0</v>
      </c>
      <c r="L12" t="n">
        <v>49.3</v>
      </c>
      <c r="M12" t="n">
        <v>9.657999999999999</v>
      </c>
      <c r="N12" t="n">
        <v>33.621</v>
      </c>
      <c r="O12" t="n">
        <v>0.091</v>
      </c>
      <c r="P12" t="n">
        <v>0</v>
      </c>
      <c r="Q12" t="n">
        <v>0.137</v>
      </c>
      <c r="R12" t="n">
        <v>0.145</v>
      </c>
      <c r="S12" t="n">
        <v>0.159</v>
      </c>
      <c r="T12" t="n">
        <v>0.2</v>
      </c>
      <c r="U12" t="n">
        <v>0</v>
      </c>
      <c r="V12" t="n">
        <v>0</v>
      </c>
      <c r="W12" t="n">
        <v>0</v>
      </c>
      <c r="X12" t="n">
        <v>0</v>
      </c>
      <c r="Y12" t="n">
        <v>0.112</v>
      </c>
      <c r="Z12" t="n">
        <v>0.055</v>
      </c>
      <c r="AA12" t="n">
        <v>0.916</v>
      </c>
      <c r="AB12" t="n">
        <v>0.125</v>
      </c>
      <c r="AC12" t="n">
        <v>0.369</v>
      </c>
      <c r="AD12" t="n">
        <v>0.378</v>
      </c>
      <c r="AE12">
        <f>SUMPRODUCT(Plan!$C$6:$H$6,D12:I12)</f>
        <v>364.199996948242</v>
      </c>
      <c r="AF12">
        <f>SQRT(MAX(0,Plan!$C$6*J12^2+Plan!$D$6*K12^2+Plan!$E$6*L12^2+Plan!$F$6*M12^2+Plan!$G$6*N12^2+Plan!$H$6*O12^2+2*Plan!$C$6*Plan!$D$6*P12*J12*K12+2*Plan!$C$6*Plan!$E$6*Q12*J12*L12+2*Plan!$C$6*Plan!$F$6*R12*J12*M12+2*Plan!$C$6*Plan!$G$6*S12*J12*N12+2*Plan!$C$6*Plan!$H$6*T12*J12*O12+2*Plan!$D$6*Plan!$E$6*U12*K12*L12+2*Plan!$D$6*Plan!$F$6*V12*K12*M12+2*Plan!$D$6*Plan!$G$6*W12*K12*N12+2*Plan!$D$6*Plan!$H$6*X12*K12*O12+2*Plan!$E$6*Plan!$F$6*Y12*L12*M12+2*Plan!$E$6*Plan!$G$6*Z12*L12*N12+2*Plan!$E$6*Plan!$H$6*AA12*L12*O12+2*Plan!$F$6*Plan!$G$6*AB12*M12*N12+2*Plan!$F$6*Plan!$H$6*AC12*M12*O12+2*Plan!$G$6*Plan!$H$6*AD12*N12*O12))</f>
        <v>60.3097051228076</v>
      </c>
      <c r="AG12">
        <f>MIN(1,SUM(AH12:AL12))</f>
        <v>1</v>
      </c>
      <c r="AH12" t="n">
        <v>0.9565</v>
      </c>
      <c r="AI12" t="n">
        <v>0.176</v>
      </c>
      <c r="AJ12" t="n">
        <v>0</v>
      </c>
      <c r="AK12" t="n">
        <v>0.9025</v>
      </c>
      <c r="AL12" t="n">
        <v>0.1638</v>
      </c>
      <c r="AM12" t="n">
        <v>521.4000244140625</v>
      </c>
      <c r="AN12" t="n">
        <v>0</v>
      </c>
    </row>
    <row r="13">
      <c r="A13" t="inlineStr">
        <is>
          <t>48091310610</t>
        </is>
      </c>
      <c r="B13" t="inlineStr">
        <is>
          <t>78070</t>
        </is>
      </c>
      <c r="C13" t="n">
        <v>2942</v>
      </c>
      <c r="D13" t="n">
        <v>58.29999923706055</v>
      </c>
      <c r="E13" t="n">
        <v>0</v>
      </c>
      <c r="F13" t="n">
        <v>259</v>
      </c>
      <c r="G13" t="n">
        <v>28.39999961853027</v>
      </c>
      <c r="H13" t="n">
        <v>72.30000305175781</v>
      </c>
      <c r="I13" t="n">
        <v>104.9000015258789</v>
      </c>
      <c r="J13" t="n">
        <v>15.258</v>
      </c>
      <c r="K13" t="n">
        <v>0</v>
      </c>
      <c r="L13" t="n">
        <v>31.517</v>
      </c>
      <c r="M13" t="n">
        <v>3.628</v>
      </c>
      <c r="N13" t="n">
        <v>13.536</v>
      </c>
      <c r="O13" t="n">
        <v>11.532</v>
      </c>
      <c r="P13" t="n">
        <v>0</v>
      </c>
      <c r="Q13" t="n">
        <v>0.186</v>
      </c>
      <c r="R13" t="n">
        <v>0.208</v>
      </c>
      <c r="S13" t="n">
        <v>0.5610000000000001</v>
      </c>
      <c r="T13" t="n">
        <v>0.218</v>
      </c>
      <c r="U13" t="n">
        <v>0</v>
      </c>
      <c r="V13" t="n">
        <v>0</v>
      </c>
      <c r="W13" t="n">
        <v>0</v>
      </c>
      <c r="X13" t="n">
        <v>0</v>
      </c>
      <c r="Y13" t="n">
        <v>0.659</v>
      </c>
      <c r="Z13" t="n">
        <v>0.166</v>
      </c>
      <c r="AA13" t="n">
        <v>0.966</v>
      </c>
      <c r="AB13" t="n">
        <v>0.196</v>
      </c>
      <c r="AC13" t="n">
        <v>0.8</v>
      </c>
      <c r="AD13" t="n">
        <v>0.306</v>
      </c>
      <c r="AE13">
        <f>SUMPRODUCT(Plan!$C$6:$H$6,D13:I13)</f>
        <v>317.299999237061</v>
      </c>
      <c r="AF13">
        <f>SQRT(MAX(0,Plan!$C$6*J13^2+Plan!$D$6*K13^2+Plan!$E$6*L13^2+Plan!$F$6*M13^2+Plan!$G$6*N13^2+Plan!$H$6*O13^2+2*Plan!$C$6*Plan!$D$6*P13*J13*K13+2*Plan!$C$6*Plan!$E$6*Q13*J13*L13+2*Plan!$C$6*Plan!$F$6*R13*J13*M13+2*Plan!$C$6*Plan!$G$6*S13*J13*N13+2*Plan!$C$6*Plan!$H$6*T13*J13*O13+2*Plan!$D$6*Plan!$E$6*U13*K13*L13+2*Plan!$D$6*Plan!$F$6*V13*K13*M13+2*Plan!$D$6*Plan!$G$6*W13*K13*N13+2*Plan!$D$6*Plan!$H$6*X13*K13*O13+2*Plan!$E$6*Plan!$F$6*Y13*L13*M13+2*Plan!$E$6*Plan!$G$6*Z13*L13*N13+2*Plan!$E$6*Plan!$H$6*AA13*L13*O13+2*Plan!$F$6*Plan!$G$6*AB13*M13*N13+2*Plan!$F$6*Plan!$H$6*AC13*M13*O13+2*Plan!$G$6*Plan!$H$6*AD13*N13*O13))</f>
        <v>37.4835642461066</v>
      </c>
      <c r="AG13">
        <f>MIN(1,SUM(AH13:AL13))</f>
        <v>0.4629</v>
      </c>
      <c r="AH13" t="n">
        <v>0</v>
      </c>
      <c r="AI13" t="n">
        <v>0</v>
      </c>
      <c r="AJ13" t="n">
        <v>0.4629</v>
      </c>
      <c r="AK13" t="n">
        <v>0</v>
      </c>
      <c r="AL13" t="n">
        <v>0</v>
      </c>
      <c r="AM13" t="n">
        <v>270.5</v>
      </c>
      <c r="AN13" t="n">
        <v>1</v>
      </c>
    </row>
    <row r="14">
      <c r="A14" t="inlineStr">
        <is>
          <t>48091310611</t>
        </is>
      </c>
      <c r="B14" t="inlineStr">
        <is>
          <t>78133</t>
        </is>
      </c>
      <c r="C14" t="n">
        <v>4296</v>
      </c>
      <c r="D14" t="n">
        <v>78.69999694824219</v>
      </c>
      <c r="E14" t="n">
        <v>0</v>
      </c>
      <c r="F14" t="n">
        <v>229.8999938964844</v>
      </c>
      <c r="G14" t="n">
        <v>117.0999984741211</v>
      </c>
      <c r="H14" t="n">
        <v>98.59999847412109</v>
      </c>
      <c r="I14" t="n">
        <v>0.4000000059604645</v>
      </c>
      <c r="J14" t="n">
        <v>20.873</v>
      </c>
      <c r="K14" t="n">
        <v>0</v>
      </c>
      <c r="L14" t="n">
        <v>44.08</v>
      </c>
      <c r="M14" t="n">
        <v>17.464</v>
      </c>
      <c r="N14" t="n">
        <v>27.638</v>
      </c>
      <c r="O14" t="n">
        <v>0.05</v>
      </c>
      <c r="P14" t="n">
        <v>0</v>
      </c>
      <c r="Q14" t="n">
        <v>0.09</v>
      </c>
      <c r="R14" t="n">
        <v>0.173</v>
      </c>
      <c r="S14" t="n">
        <v>0.159</v>
      </c>
      <c r="T14" t="n">
        <v>0.156</v>
      </c>
      <c r="U14" t="n">
        <v>0</v>
      </c>
      <c r="V14" t="n">
        <v>0</v>
      </c>
      <c r="W14" t="n">
        <v>0</v>
      </c>
      <c r="X14" t="n">
        <v>0</v>
      </c>
      <c r="Y14" t="n">
        <v>0.184</v>
      </c>
      <c r="Z14" t="n">
        <v>0.08400000000000001</v>
      </c>
      <c r="AA14" t="n">
        <v>0.871</v>
      </c>
      <c r="AB14" t="n">
        <v>0.105</v>
      </c>
      <c r="AC14" t="n">
        <v>0.58</v>
      </c>
      <c r="AD14" t="n">
        <v>0.352</v>
      </c>
      <c r="AE14">
        <f>SUMPRODUCT(Plan!$C$6:$H$6,D14:I14)</f>
        <v>308.599990844727</v>
      </c>
      <c r="AF14">
        <f>SQRT(MAX(0,Plan!$C$6*J14^2+Plan!$D$6*K14^2+Plan!$E$6*L14^2+Plan!$F$6*M14^2+Plan!$G$6*N14^2+Plan!$H$6*O14^2+2*Plan!$C$6*Plan!$D$6*P14*J14*K14+2*Plan!$C$6*Plan!$E$6*Q14*J14*L14+2*Plan!$C$6*Plan!$F$6*R14*J14*M14+2*Plan!$C$6*Plan!$G$6*S14*J14*N14+2*Plan!$C$6*Plan!$H$6*T14*J14*O14+2*Plan!$D$6*Plan!$E$6*U14*K14*L14+2*Plan!$D$6*Plan!$F$6*V14*K14*M14+2*Plan!$D$6*Plan!$G$6*W14*K14*N14+2*Plan!$D$6*Plan!$H$6*X14*K14*O14+2*Plan!$E$6*Plan!$F$6*Y14*L14*M14+2*Plan!$E$6*Plan!$G$6*Z14*L14*N14+2*Plan!$E$6*Plan!$H$6*AA14*L14*O14+2*Plan!$F$6*Plan!$G$6*AB14*M14*N14+2*Plan!$F$6*Plan!$H$6*AC14*M14*O14+2*Plan!$G$6*Plan!$H$6*AD14*N14*O14))</f>
        <v>50.4414835249718</v>
      </c>
      <c r="AG14">
        <f>MIN(1,SUM(AH14:AL14))</f>
        <v>0.938</v>
      </c>
      <c r="AH14" t="n">
        <v>0</v>
      </c>
      <c r="AI14" t="n">
        <v>0.9379999999999999</v>
      </c>
      <c r="AJ14" t="n">
        <v>0</v>
      </c>
      <c r="AK14" t="n">
        <v>0</v>
      </c>
      <c r="AL14" t="n">
        <v>0</v>
      </c>
      <c r="AM14" t="n">
        <v>880.9000244140625</v>
      </c>
      <c r="AN14" t="n">
        <v>0</v>
      </c>
    </row>
    <row r="15">
      <c r="A15" t="inlineStr">
        <is>
          <t>48091310703</t>
        </is>
      </c>
      <c r="B15" t="inlineStr">
        <is>
          <t>78070</t>
        </is>
      </c>
      <c r="C15" t="n">
        <v>13128</v>
      </c>
      <c r="D15" t="n">
        <v>130.1000061035156</v>
      </c>
      <c r="E15" t="n">
        <v>0</v>
      </c>
      <c r="F15" t="n">
        <v>163.3999938964844</v>
      </c>
      <c r="G15" t="n">
        <v>111.8000030517578</v>
      </c>
      <c r="H15" t="n">
        <v>367.7999877929688</v>
      </c>
      <c r="I15" t="n">
        <v>47.70000076293945</v>
      </c>
      <c r="J15" t="n">
        <v>39.046</v>
      </c>
      <c r="K15" t="n">
        <v>0</v>
      </c>
      <c r="L15" t="n">
        <v>37.558</v>
      </c>
      <c r="M15" t="n">
        <v>16.224</v>
      </c>
      <c r="N15" t="n">
        <v>107.269</v>
      </c>
      <c r="O15" t="n">
        <v>8.023</v>
      </c>
      <c r="P15" t="n">
        <v>0</v>
      </c>
      <c r="Q15" t="n">
        <v>0.113</v>
      </c>
      <c r="R15" t="n">
        <v>0.134</v>
      </c>
      <c r="S15" t="n">
        <v>0.463</v>
      </c>
      <c r="T15" t="n">
        <v>0.1</v>
      </c>
      <c r="U15" t="n">
        <v>0</v>
      </c>
      <c r="V15" t="n">
        <v>0</v>
      </c>
      <c r="W15" t="n">
        <v>0</v>
      </c>
      <c r="X15" t="n">
        <v>0</v>
      </c>
      <c r="Y15" t="n">
        <v>0.225</v>
      </c>
      <c r="Z15" t="n">
        <v>0.07000000000000001</v>
      </c>
      <c r="AA15" t="n">
        <v>0.623</v>
      </c>
      <c r="AB15" t="n">
        <v>0.154</v>
      </c>
      <c r="AC15" t="n">
        <v>0.504</v>
      </c>
      <c r="AD15" t="n">
        <v>0.697</v>
      </c>
      <c r="AE15">
        <f>SUMPRODUCT(Plan!$C$6:$H$6,D15:I15)</f>
        <v>293.5</v>
      </c>
      <c r="AF15">
        <f>SQRT(MAX(0,Plan!$C$6*J15^2+Plan!$D$6*K15^2+Plan!$E$6*L15^2+Plan!$F$6*M15^2+Plan!$G$6*N15^2+Plan!$H$6*O15^2+2*Plan!$C$6*Plan!$D$6*P15*J15*K15+2*Plan!$C$6*Plan!$E$6*Q15*J15*L15+2*Plan!$C$6*Plan!$F$6*R15*J15*M15+2*Plan!$C$6*Plan!$G$6*S15*J15*N15+2*Plan!$C$6*Plan!$H$6*T15*J15*O15+2*Plan!$D$6*Plan!$E$6*U15*K15*L15+2*Plan!$D$6*Plan!$F$6*V15*K15*M15+2*Plan!$D$6*Plan!$G$6*W15*K15*N15+2*Plan!$D$6*Plan!$H$6*X15*K15*O15+2*Plan!$E$6*Plan!$F$6*Y15*L15*M15+2*Plan!$E$6*Plan!$G$6*Z15*L15*N15+2*Plan!$E$6*Plan!$H$6*AA15*L15*O15+2*Plan!$F$6*Plan!$G$6*AB15*M15*N15+2*Plan!$F$6*Plan!$H$6*AC15*M15*O15+2*Plan!$G$6*Plan!$H$6*AD15*N15*O15))</f>
        <v>57.1543536834072</v>
      </c>
      <c r="AG15">
        <f>MIN(1,SUM(AH15:AL15))</f>
        <v>0.8347</v>
      </c>
      <c r="AH15" t="n">
        <v>0</v>
      </c>
      <c r="AI15" t="n">
        <v>0</v>
      </c>
      <c r="AJ15" t="n">
        <v>0.8347</v>
      </c>
      <c r="AK15" t="n">
        <v>0</v>
      </c>
      <c r="AL15" t="n">
        <v>0</v>
      </c>
      <c r="AM15" t="n">
        <v>163.1999969482422</v>
      </c>
      <c r="AN15" t="n">
        <v>1</v>
      </c>
    </row>
    <row r="16">
      <c r="A16" t="inlineStr">
        <is>
          <t>48091310603</t>
        </is>
      </c>
      <c r="B16" t="inlineStr">
        <is>
          <t>78070</t>
        </is>
      </c>
      <c r="C16" t="n">
        <v>5150</v>
      </c>
      <c r="D16" t="n">
        <v>25.79999923706055</v>
      </c>
      <c r="E16" t="n">
        <v>0</v>
      </c>
      <c r="F16" t="n">
        <v>252.1999969482422</v>
      </c>
      <c r="G16" t="n">
        <v>50.40000152587891</v>
      </c>
      <c r="H16" t="n">
        <v>155.1999969482422</v>
      </c>
      <c r="I16" t="n">
        <v>1.299999952316284</v>
      </c>
      <c r="J16" t="n">
        <v>6.416</v>
      </c>
      <c r="K16" t="n">
        <v>0</v>
      </c>
      <c r="L16" t="n">
        <v>41.143</v>
      </c>
      <c r="M16" t="n">
        <v>6.686</v>
      </c>
      <c r="N16" t="n">
        <v>44.657</v>
      </c>
      <c r="O16" t="n">
        <v>0.172</v>
      </c>
      <c r="P16" t="n">
        <v>0</v>
      </c>
      <c r="Q16" t="n">
        <v>0.188</v>
      </c>
      <c r="R16" t="n">
        <v>0.2</v>
      </c>
      <c r="S16" t="n">
        <v>0.33</v>
      </c>
      <c r="T16" t="n">
        <v>0.217</v>
      </c>
      <c r="U16" t="n">
        <v>0</v>
      </c>
      <c r="V16" t="n">
        <v>0</v>
      </c>
      <c r="W16" t="n">
        <v>0</v>
      </c>
      <c r="X16" t="n">
        <v>0</v>
      </c>
      <c r="Y16" t="n">
        <v>0.407</v>
      </c>
      <c r="Z16" t="n">
        <v>0.144</v>
      </c>
      <c r="AA16" t="n">
        <v>0.885</v>
      </c>
      <c r="AB16" t="n">
        <v>0.18</v>
      </c>
      <c r="AC16" t="n">
        <v>0.603</v>
      </c>
      <c r="AD16" t="n">
        <v>0.526</v>
      </c>
      <c r="AE16">
        <f>SUMPRODUCT(Plan!$C$6:$H$6,D16:I16)</f>
        <v>277.999996185303</v>
      </c>
      <c r="AF16">
        <f>SQRT(MAX(0,Plan!$C$6*J16^2+Plan!$D$6*K16^2+Plan!$E$6*L16^2+Plan!$F$6*M16^2+Plan!$G$6*N16^2+Plan!$H$6*O16^2+2*Plan!$C$6*Plan!$D$6*P16*J16*K16+2*Plan!$C$6*Plan!$E$6*Q16*J16*L16+2*Plan!$C$6*Plan!$F$6*R16*J16*M16+2*Plan!$C$6*Plan!$G$6*S16*J16*N16+2*Plan!$C$6*Plan!$H$6*T16*J16*O16+2*Plan!$D$6*Plan!$E$6*U16*K16*L16+2*Plan!$D$6*Plan!$F$6*V16*K16*M16+2*Plan!$D$6*Plan!$G$6*W16*K16*N16+2*Plan!$D$6*Plan!$H$6*X16*K16*O16+2*Plan!$E$6*Plan!$F$6*Y16*L16*M16+2*Plan!$E$6*Plan!$G$6*Z16*L16*N16+2*Plan!$E$6*Plan!$H$6*AA16*L16*O16+2*Plan!$F$6*Plan!$G$6*AB16*M16*N16+2*Plan!$F$6*Plan!$H$6*AC16*M16*O16+2*Plan!$G$6*Plan!$H$6*AD16*N16*O16))</f>
        <v>42.815482439043</v>
      </c>
      <c r="AG16">
        <f>MIN(1,SUM(AH16:AL16))</f>
        <v>0.2966</v>
      </c>
      <c r="AH16" t="n">
        <v>0</v>
      </c>
      <c r="AI16" t="n">
        <v>0.2966</v>
      </c>
      <c r="AJ16" t="n">
        <v>0</v>
      </c>
      <c r="AK16" t="n">
        <v>0</v>
      </c>
      <c r="AL16" t="n">
        <v>0</v>
      </c>
      <c r="AM16" t="n">
        <v>181.1000061035156</v>
      </c>
      <c r="AN16" t="n">
        <v>0</v>
      </c>
    </row>
    <row r="17">
      <c r="A17" t="inlineStr">
        <is>
          <t>48091310608</t>
        </is>
      </c>
      <c r="B17" t="inlineStr">
        <is>
          <t>78133</t>
        </is>
      </c>
      <c r="C17" t="n">
        <v>4272</v>
      </c>
      <c r="D17" t="n">
        <v>70.5</v>
      </c>
      <c r="E17" t="n">
        <v>0</v>
      </c>
      <c r="F17" t="n">
        <v>206.6999969482422</v>
      </c>
      <c r="G17" t="n">
        <v>42.40000152587891</v>
      </c>
      <c r="H17" t="n">
        <v>134.8999938964844</v>
      </c>
      <c r="I17" t="n">
        <v>35.29999923706055</v>
      </c>
      <c r="J17" t="n">
        <v>16.599</v>
      </c>
      <c r="K17" t="n">
        <v>0</v>
      </c>
      <c r="L17" t="n">
        <v>28.937</v>
      </c>
      <c r="M17" t="n">
        <v>6.061</v>
      </c>
      <c r="N17" t="n">
        <v>32.196</v>
      </c>
      <c r="O17" t="n">
        <v>4.178</v>
      </c>
      <c r="P17" t="n">
        <v>0</v>
      </c>
      <c r="Q17" t="n">
        <v>0.157</v>
      </c>
      <c r="R17" t="n">
        <v>0.194</v>
      </c>
      <c r="S17" t="n">
        <v>0.321</v>
      </c>
      <c r="T17" t="n">
        <v>0.201</v>
      </c>
      <c r="U17" t="n">
        <v>0</v>
      </c>
      <c r="V17" t="n">
        <v>0</v>
      </c>
      <c r="W17" t="n">
        <v>0</v>
      </c>
      <c r="X17" t="n">
        <v>0</v>
      </c>
      <c r="Y17" t="n">
        <v>0.351</v>
      </c>
      <c r="Z17" t="n">
        <v>0.148</v>
      </c>
      <c r="AA17" t="n">
        <v>0.88</v>
      </c>
      <c r="AB17" t="n">
        <v>0.13</v>
      </c>
      <c r="AC17" t="n">
        <v>0.5580000000000001</v>
      </c>
      <c r="AD17" t="n">
        <v>0.529</v>
      </c>
      <c r="AE17">
        <f>SUMPRODUCT(Plan!$C$6:$H$6,D17:I17)</f>
        <v>277.199996948242</v>
      </c>
      <c r="AF17">
        <f>SQRT(MAX(0,Plan!$C$6*J17^2+Plan!$D$6*K17^2+Plan!$E$6*L17^2+Plan!$F$6*M17^2+Plan!$G$6*N17^2+Plan!$H$6*O17^2+2*Plan!$C$6*Plan!$D$6*P17*J17*K17+2*Plan!$C$6*Plan!$E$6*Q17*J17*L17+2*Plan!$C$6*Plan!$F$6*R17*J17*M17+2*Plan!$C$6*Plan!$G$6*S17*J17*N17+2*Plan!$C$6*Plan!$H$6*T17*J17*O17+2*Plan!$D$6*Plan!$E$6*U17*K17*L17+2*Plan!$D$6*Plan!$F$6*V17*K17*M17+2*Plan!$D$6*Plan!$G$6*W17*K17*N17+2*Plan!$D$6*Plan!$H$6*X17*K17*O17+2*Plan!$E$6*Plan!$F$6*Y17*L17*M17+2*Plan!$E$6*Plan!$G$6*Z17*L17*N17+2*Plan!$E$6*Plan!$H$6*AA17*L17*O17+2*Plan!$F$6*Plan!$G$6*AB17*M17*N17+2*Plan!$F$6*Plan!$H$6*AC17*M17*O17+2*Plan!$G$6*Plan!$H$6*AD17*N17*O17))</f>
        <v>35.5485429037816</v>
      </c>
      <c r="AG17">
        <f>MIN(1,SUM(AH17:AL17))</f>
        <v>0.8149</v>
      </c>
      <c r="AH17" t="n">
        <v>0</v>
      </c>
      <c r="AI17" t="n">
        <v>0.3495</v>
      </c>
      <c r="AJ17" t="n">
        <v>0.4654</v>
      </c>
      <c r="AK17" t="n">
        <v>0</v>
      </c>
      <c r="AL17" t="n">
        <v>0</v>
      </c>
      <c r="AM17" t="n">
        <v>456.3999938964844</v>
      </c>
      <c r="AN17" t="n">
        <v>0</v>
      </c>
    </row>
    <row r="18">
      <c r="A18" t="inlineStr">
        <is>
          <t>48091310609</t>
        </is>
      </c>
      <c r="B18" t="inlineStr">
        <is>
          <t>78070</t>
        </is>
      </c>
      <c r="C18" t="n">
        <v>4376</v>
      </c>
      <c r="D18" t="n">
        <v>50.79999923706055</v>
      </c>
      <c r="E18" t="n">
        <v>0</v>
      </c>
      <c r="F18" t="n">
        <v>218.1000061035156</v>
      </c>
      <c r="G18" t="n">
        <v>20.70000076293945</v>
      </c>
      <c r="H18" t="n">
        <v>127.1999969482422</v>
      </c>
      <c r="I18" t="n">
        <v>11.89999961853027</v>
      </c>
      <c r="J18" t="n">
        <v>15.238</v>
      </c>
      <c r="K18" t="n">
        <v>0</v>
      </c>
      <c r="L18" t="n">
        <v>29.712</v>
      </c>
      <c r="M18" t="n">
        <v>3.04</v>
      </c>
      <c r="N18" t="n">
        <v>37.43</v>
      </c>
      <c r="O18" t="n">
        <v>1.495</v>
      </c>
      <c r="P18" t="n">
        <v>0</v>
      </c>
      <c r="Q18" t="n">
        <v>0.172</v>
      </c>
      <c r="R18" t="n">
        <v>0.181</v>
      </c>
      <c r="S18" t="n">
        <v>0.061</v>
      </c>
      <c r="T18" t="n">
        <v>0.172</v>
      </c>
      <c r="U18" t="n">
        <v>0</v>
      </c>
      <c r="V18" t="n">
        <v>0</v>
      </c>
      <c r="W18" t="n">
        <v>0</v>
      </c>
      <c r="X18" t="n">
        <v>0</v>
      </c>
      <c r="Y18" t="n">
        <v>0.671</v>
      </c>
      <c r="Z18" t="n">
        <v>0.123</v>
      </c>
      <c r="AA18" t="n">
        <v>0.884</v>
      </c>
      <c r="AB18" t="n">
        <v>0.119</v>
      </c>
      <c r="AC18" t="n">
        <v>0.744</v>
      </c>
      <c r="AD18" t="n">
        <v>0.536</v>
      </c>
      <c r="AE18">
        <f>SUMPRODUCT(Plan!$C$6:$H$6,D18:I18)</f>
        <v>268.900005340576</v>
      </c>
      <c r="AF18">
        <f>SQRT(MAX(0,Plan!$C$6*J18^2+Plan!$D$6*K18^2+Plan!$E$6*L18^2+Plan!$F$6*M18^2+Plan!$G$6*N18^2+Plan!$H$6*O18^2+2*Plan!$C$6*Plan!$D$6*P18*J18*K18+2*Plan!$C$6*Plan!$E$6*Q18*J18*L18+2*Plan!$C$6*Plan!$F$6*R18*J18*M18+2*Plan!$C$6*Plan!$G$6*S18*J18*N18+2*Plan!$C$6*Plan!$H$6*T18*J18*O18+2*Plan!$D$6*Plan!$E$6*U18*K18*L18+2*Plan!$D$6*Plan!$F$6*V18*K18*M18+2*Plan!$D$6*Plan!$G$6*W18*K18*N18+2*Plan!$D$6*Plan!$H$6*X18*K18*O18+2*Plan!$E$6*Plan!$F$6*Y18*L18*M18+2*Plan!$E$6*Plan!$G$6*Z18*L18*N18+2*Plan!$E$6*Plan!$H$6*AA18*L18*O18+2*Plan!$F$6*Plan!$G$6*AB18*M18*N18+2*Plan!$F$6*Plan!$H$6*AC18*M18*O18+2*Plan!$G$6*Plan!$H$6*AD18*N18*O18))</f>
        <v>35.6475257046545</v>
      </c>
      <c r="AG18">
        <f>MIN(1,SUM(AH18:AL18))</f>
        <v>0.5806</v>
      </c>
      <c r="AH18" t="n">
        <v>0</v>
      </c>
      <c r="AI18" t="n">
        <v>0.3961</v>
      </c>
      <c r="AJ18" t="n">
        <v>0.1845</v>
      </c>
      <c r="AK18" t="n">
        <v>0</v>
      </c>
      <c r="AL18" t="n">
        <v>0</v>
      </c>
      <c r="AM18" t="n">
        <v>305.2000122070312</v>
      </c>
      <c r="AN18" t="n">
        <v>0</v>
      </c>
    </row>
    <row r="19">
      <c r="A19" t="inlineStr">
        <is>
          <t>48091310901</t>
        </is>
      </c>
      <c r="B19" t="inlineStr">
        <is>
          <t>78132</t>
        </is>
      </c>
      <c r="C19" t="n">
        <v>13162</v>
      </c>
      <c r="D19" t="n">
        <v>65.59999847412109</v>
      </c>
      <c r="E19" t="n">
        <v>0</v>
      </c>
      <c r="F19" t="n">
        <v>171.5</v>
      </c>
      <c r="G19" t="n">
        <v>53.5</v>
      </c>
      <c r="H19" t="n">
        <v>390.3999938964844</v>
      </c>
      <c r="I19" t="n">
        <v>181.1999969482422</v>
      </c>
      <c r="J19" t="n">
        <v>19.241</v>
      </c>
      <c r="K19" t="n">
        <v>0</v>
      </c>
      <c r="L19" t="n">
        <v>42.317</v>
      </c>
      <c r="M19" t="n">
        <v>8.074999999999999</v>
      </c>
      <c r="N19" t="n">
        <v>106.694</v>
      </c>
      <c r="O19" t="n">
        <v>35.374</v>
      </c>
      <c r="P19" t="n">
        <v>0</v>
      </c>
      <c r="Q19" t="n">
        <v>0.116</v>
      </c>
      <c r="R19" t="n">
        <v>0.149</v>
      </c>
      <c r="S19" t="n">
        <v>0.648</v>
      </c>
      <c r="T19" t="n">
        <v>0.165</v>
      </c>
      <c r="U19" t="n">
        <v>0</v>
      </c>
      <c r="V19" t="n">
        <v>0</v>
      </c>
      <c r="W19" t="n">
        <v>0</v>
      </c>
      <c r="X19" t="n">
        <v>0</v>
      </c>
      <c r="Y19" t="n">
        <v>0.156</v>
      </c>
      <c r="Z19" t="n">
        <v>0.153</v>
      </c>
      <c r="AA19" t="n">
        <v>0.747</v>
      </c>
      <c r="AB19" t="n">
        <v>0.164</v>
      </c>
      <c r="AC19" t="n">
        <v>0.327</v>
      </c>
      <c r="AD19" t="n">
        <v>0.65</v>
      </c>
      <c r="AE19">
        <f>SUMPRODUCT(Plan!$C$6:$H$6,D19:I19)</f>
        <v>237.099998474121</v>
      </c>
      <c r="AF19">
        <f>SQRT(MAX(0,Plan!$C$6*J19^2+Plan!$D$6*K19^2+Plan!$E$6*L19^2+Plan!$F$6*M19^2+Plan!$G$6*N19^2+Plan!$H$6*O19^2+2*Plan!$C$6*Plan!$D$6*P19*J19*K19+2*Plan!$C$6*Plan!$E$6*Q19*J19*L19+2*Plan!$C$6*Plan!$F$6*R19*J19*M19+2*Plan!$C$6*Plan!$G$6*S19*J19*N19+2*Plan!$C$6*Plan!$H$6*T19*J19*O19+2*Plan!$D$6*Plan!$E$6*U19*K19*L19+2*Plan!$D$6*Plan!$F$6*V19*K19*M19+2*Plan!$D$6*Plan!$G$6*W19*K19*N19+2*Plan!$D$6*Plan!$H$6*X19*K19*O19+2*Plan!$E$6*Plan!$F$6*Y19*L19*M19+2*Plan!$E$6*Plan!$G$6*Z19*L19*N19+2*Plan!$E$6*Plan!$H$6*AA19*L19*O19+2*Plan!$F$6*Plan!$G$6*AB19*M19*N19+2*Plan!$F$6*Plan!$H$6*AC19*M19*O19+2*Plan!$G$6*Plan!$H$6*AD19*N19*O19))</f>
        <v>48.4751888506275</v>
      </c>
      <c r="AG19">
        <f>MIN(1,SUM(AH19:AL19))</f>
        <v>1</v>
      </c>
      <c r="AH19" t="n">
        <v>0.3927</v>
      </c>
      <c r="AI19" t="n">
        <v>0.5507</v>
      </c>
      <c r="AJ19" t="n">
        <v>0</v>
      </c>
      <c r="AK19" t="n">
        <v>0.3682</v>
      </c>
      <c r="AL19" t="n">
        <v>0.1715</v>
      </c>
      <c r="AM19" t="n">
        <v>239.8000030517578</v>
      </c>
      <c r="AN19" t="n">
        <v>1</v>
      </c>
    </row>
    <row r="20">
      <c r="A20" t="inlineStr">
        <is>
          <t>48091310604</t>
        </is>
      </c>
      <c r="B20" t="inlineStr">
        <is>
          <t>78133</t>
        </is>
      </c>
      <c r="C20" t="n">
        <v>3383</v>
      </c>
      <c r="D20" t="n">
        <v>37.59999847412109</v>
      </c>
      <c r="E20" t="n">
        <v>0</v>
      </c>
      <c r="F20" t="n">
        <v>195.8000030517578</v>
      </c>
      <c r="G20" t="n">
        <v>19.89999961853027</v>
      </c>
      <c r="H20" t="n">
        <v>77.80000305175781</v>
      </c>
      <c r="I20" t="n">
        <v>0.6000000238418579</v>
      </c>
      <c r="J20" t="n">
        <v>10.582</v>
      </c>
      <c r="K20" t="n">
        <v>0</v>
      </c>
      <c r="L20" t="n">
        <v>31.271</v>
      </c>
      <c r="M20" t="n">
        <v>3.273</v>
      </c>
      <c r="N20" t="n">
        <v>23.576</v>
      </c>
      <c r="O20" t="n">
        <v>0.08699999999999999</v>
      </c>
      <c r="P20" t="n">
        <v>0</v>
      </c>
      <c r="Q20" t="n">
        <v>0.131</v>
      </c>
      <c r="R20" t="n">
        <v>0.187</v>
      </c>
      <c r="S20" t="n">
        <v>0.112</v>
      </c>
      <c r="T20" t="n">
        <v>0.167</v>
      </c>
      <c r="U20" t="n">
        <v>0</v>
      </c>
      <c r="V20" t="n">
        <v>0</v>
      </c>
      <c r="W20" t="n">
        <v>0</v>
      </c>
      <c r="X20" t="n">
        <v>0</v>
      </c>
      <c r="Y20" t="n">
        <v>0.265</v>
      </c>
      <c r="Z20" t="n">
        <v>0.073</v>
      </c>
      <c r="AA20" t="n">
        <v>0.925</v>
      </c>
      <c r="AB20" t="n">
        <v>0.119</v>
      </c>
      <c r="AC20" t="n">
        <v>0.439</v>
      </c>
      <c r="AD20" t="n">
        <v>0.409</v>
      </c>
      <c r="AE20">
        <f>SUMPRODUCT(Plan!$C$6:$H$6,D20:I20)</f>
        <v>233.400001525879</v>
      </c>
      <c r="AF20">
        <f>SQRT(MAX(0,Plan!$C$6*J20^2+Plan!$D$6*K20^2+Plan!$E$6*L20^2+Plan!$F$6*M20^2+Plan!$G$6*N20^2+Plan!$H$6*O20^2+2*Plan!$C$6*Plan!$D$6*P20*J20*K20+2*Plan!$C$6*Plan!$E$6*Q20*J20*L20+2*Plan!$C$6*Plan!$F$6*R20*J20*M20+2*Plan!$C$6*Plan!$G$6*S20*J20*N20+2*Plan!$C$6*Plan!$H$6*T20*J20*O20+2*Plan!$D$6*Plan!$E$6*U20*K20*L20+2*Plan!$D$6*Plan!$F$6*V20*K20*M20+2*Plan!$D$6*Plan!$G$6*W20*K20*N20+2*Plan!$D$6*Plan!$H$6*X20*K20*O20+2*Plan!$E$6*Plan!$F$6*Y20*L20*M20+2*Plan!$E$6*Plan!$G$6*Z20*L20*N20+2*Plan!$E$6*Plan!$H$6*AA20*L20*O20+2*Plan!$F$6*Plan!$G$6*AB20*M20*N20+2*Plan!$F$6*Plan!$H$6*AC20*M20*O20+2*Plan!$G$6*Plan!$H$6*AD20*N20*O20))</f>
        <v>34.3009112439305</v>
      </c>
      <c r="AG20">
        <f>MIN(1,SUM(AH20:AL20))</f>
        <v>0.8399</v>
      </c>
      <c r="AH20" t="n">
        <v>0</v>
      </c>
      <c r="AI20" t="n">
        <v>0.6654</v>
      </c>
      <c r="AJ20" t="n">
        <v>0.1745</v>
      </c>
      <c r="AK20" t="n">
        <v>0</v>
      </c>
      <c r="AL20" t="n">
        <v>0</v>
      </c>
      <c r="AM20" t="n">
        <v>349.1000061035156</v>
      </c>
      <c r="AN20" t="n">
        <v>0</v>
      </c>
    </row>
    <row r="21">
      <c r="A21" t="inlineStr">
        <is>
          <t>48091310706</t>
        </is>
      </c>
      <c r="B21" t="inlineStr">
        <is>
          <t>78163</t>
        </is>
      </c>
      <c r="C21" t="n">
        <v>6208</v>
      </c>
      <c r="D21" t="n">
        <v>58</v>
      </c>
      <c r="E21" t="n">
        <v>0</v>
      </c>
      <c r="F21" t="n">
        <v>168.1000061035156</v>
      </c>
      <c r="G21" t="n">
        <v>67.30000305175781</v>
      </c>
      <c r="H21" t="n">
        <v>179.8000030517578</v>
      </c>
      <c r="I21" t="n">
        <v>1</v>
      </c>
      <c r="J21" t="n">
        <v>19.289</v>
      </c>
      <c r="K21" t="n">
        <v>0</v>
      </c>
      <c r="L21" t="n">
        <v>38.774</v>
      </c>
      <c r="M21" t="n">
        <v>11.131</v>
      </c>
      <c r="N21" t="n">
        <v>52.04</v>
      </c>
      <c r="O21" t="n">
        <v>0.156</v>
      </c>
      <c r="P21" t="n">
        <v>0</v>
      </c>
      <c r="Q21" t="n">
        <v>0.097</v>
      </c>
      <c r="R21" t="n">
        <v>0.179</v>
      </c>
      <c r="S21" t="n">
        <v>0.402</v>
      </c>
      <c r="T21" t="n">
        <v>0.16</v>
      </c>
      <c r="U21" t="n">
        <v>0</v>
      </c>
      <c r="V21" t="n">
        <v>0</v>
      </c>
      <c r="W21" t="n">
        <v>0</v>
      </c>
      <c r="X21" t="n">
        <v>0</v>
      </c>
      <c r="Y21" t="n">
        <v>0.222</v>
      </c>
      <c r="Z21" t="n">
        <v>0.066</v>
      </c>
      <c r="AA21" t="n">
        <v>0.831</v>
      </c>
      <c r="AB21" t="n">
        <v>0.114</v>
      </c>
      <c r="AC21" t="n">
        <v>0.478</v>
      </c>
      <c r="AD21" t="n">
        <v>0.524</v>
      </c>
      <c r="AE21">
        <f>SUMPRODUCT(Plan!$C$6:$H$6,D21:I21)</f>
        <v>226.100006103516</v>
      </c>
      <c r="AF21">
        <f>SQRT(MAX(0,Plan!$C$6*J21^2+Plan!$D$6*K21^2+Plan!$E$6*L21^2+Plan!$F$6*M21^2+Plan!$G$6*N21^2+Plan!$H$6*O21^2+2*Plan!$C$6*Plan!$D$6*P21*J21*K21+2*Plan!$C$6*Plan!$E$6*Q21*J21*L21+2*Plan!$C$6*Plan!$F$6*R21*J21*M21+2*Plan!$C$6*Plan!$G$6*S21*J21*N21+2*Plan!$C$6*Plan!$H$6*T21*J21*O21+2*Plan!$D$6*Plan!$E$6*U21*K21*L21+2*Plan!$D$6*Plan!$F$6*V21*K21*M21+2*Plan!$D$6*Plan!$G$6*W21*K21*N21+2*Plan!$D$6*Plan!$H$6*X21*K21*O21+2*Plan!$E$6*Plan!$F$6*Y21*L21*M21+2*Plan!$E$6*Plan!$G$6*Z21*L21*N21+2*Plan!$E$6*Plan!$H$6*AA21*L21*O21+2*Plan!$F$6*Plan!$G$6*AB21*M21*N21+2*Plan!$F$6*Plan!$H$6*AC21*M21*O21+2*Plan!$G$6*Plan!$H$6*AD21*N21*O21))</f>
        <v>44.9509005925799</v>
      </c>
      <c r="AG21">
        <f>MIN(1,SUM(AH21:AL21))</f>
        <v>0.4876</v>
      </c>
      <c r="AH21" t="n">
        <v>0</v>
      </c>
      <c r="AI21" t="n">
        <v>0</v>
      </c>
      <c r="AJ21" t="n">
        <v>0.4876</v>
      </c>
      <c r="AK21" t="n">
        <v>0</v>
      </c>
      <c r="AL21" t="n">
        <v>0</v>
      </c>
      <c r="AM21" t="n">
        <v>143.3999938964844</v>
      </c>
      <c r="AN21" t="n">
        <v>1</v>
      </c>
    </row>
    <row r="22">
      <c r="A22" t="inlineStr">
        <is>
          <t>48091310100</t>
        </is>
      </c>
      <c r="B22" t="inlineStr">
        <is>
          <t>78130</t>
        </is>
      </c>
      <c r="C22" t="n">
        <v>3457</v>
      </c>
      <c r="D22" t="n">
        <v>106.0999984741211</v>
      </c>
      <c r="E22" t="n">
        <v>0</v>
      </c>
      <c r="F22" t="n">
        <v>116.3000030517578</v>
      </c>
      <c r="G22" t="n">
        <v>67.30000305175781</v>
      </c>
      <c r="H22" t="n">
        <v>79.80000305175781</v>
      </c>
      <c r="I22" t="n">
        <v>31.79999923706055</v>
      </c>
      <c r="J22" t="n">
        <v>24.476</v>
      </c>
      <c r="K22" t="n">
        <v>0</v>
      </c>
      <c r="L22" t="n">
        <v>22.223</v>
      </c>
      <c r="M22" t="n">
        <v>10.752</v>
      </c>
      <c r="N22" t="n">
        <v>22.725</v>
      </c>
      <c r="O22" t="n">
        <v>4.106</v>
      </c>
      <c r="P22" t="n">
        <v>0</v>
      </c>
      <c r="Q22" t="n">
        <v>0.06</v>
      </c>
      <c r="R22" t="n">
        <v>0.179</v>
      </c>
      <c r="S22" t="n">
        <v>0.192</v>
      </c>
      <c r="T22" t="n">
        <v>0.158</v>
      </c>
      <c r="U22" t="n">
        <v>0</v>
      </c>
      <c r="V22" t="n">
        <v>0</v>
      </c>
      <c r="W22" t="n">
        <v>0</v>
      </c>
      <c r="X22" t="n">
        <v>0</v>
      </c>
      <c r="Y22" t="n">
        <v>0.175</v>
      </c>
      <c r="Z22" t="n">
        <v>-0.007</v>
      </c>
      <c r="AA22" t="n">
        <v>0.794</v>
      </c>
      <c r="AB22" t="n">
        <v>0.129</v>
      </c>
      <c r="AC22" t="n">
        <v>0.619</v>
      </c>
      <c r="AD22" t="n">
        <v>0.418</v>
      </c>
      <c r="AE22">
        <f>SUMPRODUCT(Plan!$C$6:$H$6,D22:I22)</f>
        <v>222.400001525879</v>
      </c>
      <c r="AF22">
        <f>SQRT(MAX(0,Plan!$C$6*J22^2+Plan!$D$6*K22^2+Plan!$E$6*L22^2+Plan!$F$6*M22^2+Plan!$G$6*N22^2+Plan!$H$6*O22^2+2*Plan!$C$6*Plan!$D$6*P22*J22*K22+2*Plan!$C$6*Plan!$E$6*Q22*J22*L22+2*Plan!$C$6*Plan!$F$6*R22*J22*M22+2*Plan!$C$6*Plan!$G$6*S22*J22*N22+2*Plan!$C$6*Plan!$H$6*T22*J22*O22+2*Plan!$D$6*Plan!$E$6*U22*K22*L22+2*Plan!$D$6*Plan!$F$6*V22*K22*M22+2*Plan!$D$6*Plan!$G$6*W22*K22*N22+2*Plan!$D$6*Plan!$H$6*X22*K22*O22+2*Plan!$E$6*Plan!$F$6*Y22*L22*M22+2*Plan!$E$6*Plan!$G$6*Z22*L22*N22+2*Plan!$E$6*Plan!$H$6*AA22*L22*O22+2*Plan!$F$6*Plan!$G$6*AB22*M22*N22+2*Plan!$F$6*Plan!$H$6*AC22*M22*O22+2*Plan!$G$6*Plan!$H$6*AD22*N22*O22))</f>
        <v>34.0324539632393</v>
      </c>
      <c r="AG22">
        <f>MIN(1,SUM(AH22:AL22))</f>
        <v>1</v>
      </c>
      <c r="AH22" t="n">
        <v>0.9772999999999999</v>
      </c>
      <c r="AI22" t="n">
        <v>0</v>
      </c>
      <c r="AJ22" t="n">
        <v>0</v>
      </c>
      <c r="AK22" t="n">
        <v>0.9463</v>
      </c>
      <c r="AL22" t="n">
        <v>0.1434</v>
      </c>
      <c r="AM22" t="n">
        <v>277.2999877929688</v>
      </c>
      <c r="AN22" t="n">
        <v>0</v>
      </c>
    </row>
    <row r="23">
      <c r="A23" t="inlineStr">
        <is>
          <t>48091310612</t>
        </is>
      </c>
      <c r="B23" t="inlineStr">
        <is>
          <t>78133</t>
        </is>
      </c>
      <c r="C23" t="n">
        <v>2034</v>
      </c>
      <c r="D23" t="n">
        <v>48.90000152587891</v>
      </c>
      <c r="E23" t="n">
        <v>0</v>
      </c>
      <c r="F23" t="n">
        <v>146.8000030517578</v>
      </c>
      <c r="G23" t="n">
        <v>58.40000152587891</v>
      </c>
      <c r="H23" t="n">
        <v>53.09999847412109</v>
      </c>
      <c r="I23" t="n">
        <v>0.699999988079071</v>
      </c>
      <c r="J23" t="n">
        <v>10.205</v>
      </c>
      <c r="K23" t="n">
        <v>0</v>
      </c>
      <c r="L23" t="n">
        <v>17.734</v>
      </c>
      <c r="M23" t="n">
        <v>8.06</v>
      </c>
      <c r="N23" t="n">
        <v>14.459</v>
      </c>
      <c r="O23" t="n">
        <v>0.083</v>
      </c>
      <c r="P23" t="n">
        <v>0</v>
      </c>
      <c r="Q23" t="n">
        <v>0.178</v>
      </c>
      <c r="R23" t="n">
        <v>0.181</v>
      </c>
      <c r="S23" t="n">
        <v>0.139</v>
      </c>
      <c r="T23" t="n">
        <v>0.198</v>
      </c>
      <c r="U23" t="n">
        <v>0</v>
      </c>
      <c r="V23" t="n">
        <v>0</v>
      </c>
      <c r="W23" t="n">
        <v>0</v>
      </c>
      <c r="X23" t="n">
        <v>0</v>
      </c>
      <c r="Y23" t="n">
        <v>0.93</v>
      </c>
      <c r="Z23" t="n">
        <v>0.156</v>
      </c>
      <c r="AA23" t="n">
        <v>0.964</v>
      </c>
      <c r="AB23" t="n">
        <v>0.145</v>
      </c>
      <c r="AC23" t="n">
        <v>0.961</v>
      </c>
      <c r="AD23" t="n">
        <v>0.347</v>
      </c>
      <c r="AE23">
        <f>SUMPRODUCT(Plan!$C$6:$H$6,D23:I23)</f>
        <v>195.700004577637</v>
      </c>
      <c r="AF23">
        <f>SQRT(MAX(0,Plan!$C$6*J23^2+Plan!$D$6*K23^2+Plan!$E$6*L23^2+Plan!$F$6*M23^2+Plan!$G$6*N23^2+Plan!$H$6*O23^2+2*Plan!$C$6*Plan!$D$6*P23*J23*K23+2*Plan!$C$6*Plan!$E$6*Q23*J23*L23+2*Plan!$C$6*Plan!$F$6*R23*J23*M23+2*Plan!$C$6*Plan!$G$6*S23*J23*N23+2*Plan!$C$6*Plan!$H$6*T23*J23*O23+2*Plan!$D$6*Plan!$E$6*U23*K23*L23+2*Plan!$D$6*Plan!$F$6*V23*K23*M23+2*Plan!$D$6*Plan!$G$6*W23*K23*N23+2*Plan!$D$6*Plan!$H$6*X23*K23*O23+2*Plan!$E$6*Plan!$F$6*Y23*L23*M23+2*Plan!$E$6*Plan!$G$6*Z23*L23*N23+2*Plan!$E$6*Plan!$H$6*AA23*L23*O23+2*Plan!$F$6*Plan!$G$6*AB23*M23*N23+2*Plan!$F$6*Plan!$H$6*AC23*M23*O23+2*Plan!$G$6*Plan!$H$6*AD23*N23*O23))</f>
        <v>21.9787180772674</v>
      </c>
      <c r="AG23">
        <f>MIN(1,SUM(AH23:AL23))</f>
        <v>0.8681</v>
      </c>
      <c r="AH23" t="n">
        <v>0</v>
      </c>
      <c r="AI23" t="n">
        <v>0.8681</v>
      </c>
      <c r="AJ23" t="n">
        <v>0</v>
      </c>
      <c r="AK23" t="n">
        <v>0</v>
      </c>
      <c r="AL23" t="n">
        <v>0</v>
      </c>
      <c r="AM23" t="n">
        <v>327.8999938964844</v>
      </c>
      <c r="AN23" t="n">
        <v>1</v>
      </c>
    </row>
    <row r="24">
      <c r="A24" t="inlineStr">
        <is>
          <t>48091310614</t>
        </is>
      </c>
      <c r="B24" t="inlineStr">
        <is>
          <t>78132</t>
        </is>
      </c>
      <c r="C24" t="n">
        <v>2035</v>
      </c>
      <c r="D24" t="n">
        <v>41.20000076293945</v>
      </c>
      <c r="E24" t="n">
        <v>0</v>
      </c>
      <c r="F24" t="n">
        <v>145.8000030517578</v>
      </c>
      <c r="G24" t="n">
        <v>14.69999980926514</v>
      </c>
      <c r="H24" t="n">
        <v>16.39999961853027</v>
      </c>
      <c r="I24" t="n">
        <v>0.8999999761581421</v>
      </c>
      <c r="J24" t="n">
        <v>11.75</v>
      </c>
      <c r="K24" t="n">
        <v>0</v>
      </c>
      <c r="L24" t="n">
        <v>25.345</v>
      </c>
      <c r="M24" t="n">
        <v>2.237</v>
      </c>
      <c r="N24" t="n">
        <v>6.716</v>
      </c>
      <c r="O24" t="n">
        <v>0.141</v>
      </c>
      <c r="P24" t="n">
        <v>0</v>
      </c>
      <c r="Q24" t="n">
        <v>0.107</v>
      </c>
      <c r="R24" t="n">
        <v>0.197</v>
      </c>
      <c r="S24" t="n">
        <v>0.114</v>
      </c>
      <c r="T24" t="n">
        <v>0.141</v>
      </c>
      <c r="U24" t="n">
        <v>0</v>
      </c>
      <c r="V24" t="n">
        <v>0</v>
      </c>
      <c r="W24" t="n">
        <v>0</v>
      </c>
      <c r="X24" t="n">
        <v>0</v>
      </c>
      <c r="Y24" t="n">
        <v>0.287</v>
      </c>
      <c r="Z24" t="n">
        <v>0.061</v>
      </c>
      <c r="AA24" t="n">
        <v>0.976</v>
      </c>
      <c r="AB24" t="n">
        <v>0.101</v>
      </c>
      <c r="AC24" t="n">
        <v>0.451</v>
      </c>
      <c r="AD24" t="n">
        <v>0.197</v>
      </c>
      <c r="AE24">
        <f>SUMPRODUCT(Plan!$C$6:$H$6,D24:I24)</f>
        <v>187.000003814697</v>
      </c>
      <c r="AF24">
        <f>SQRT(MAX(0,Plan!$C$6*J24^2+Plan!$D$6*K24^2+Plan!$E$6*L24^2+Plan!$F$6*M24^2+Plan!$G$6*N24^2+Plan!$H$6*O24^2+2*Plan!$C$6*Plan!$D$6*P24*J24*K24+2*Plan!$C$6*Plan!$E$6*Q24*J24*L24+2*Plan!$C$6*Plan!$F$6*R24*J24*M24+2*Plan!$C$6*Plan!$G$6*S24*J24*N24+2*Plan!$C$6*Plan!$H$6*T24*J24*O24+2*Plan!$D$6*Plan!$E$6*U24*K24*L24+2*Plan!$D$6*Plan!$F$6*V24*K24*M24+2*Plan!$D$6*Plan!$G$6*W24*K24*N24+2*Plan!$D$6*Plan!$H$6*X24*K24*O24+2*Plan!$E$6*Plan!$F$6*Y24*L24*M24+2*Plan!$E$6*Plan!$G$6*Z24*L24*N24+2*Plan!$E$6*Plan!$H$6*AA24*L24*O24+2*Plan!$F$6*Plan!$G$6*AB24*M24*N24+2*Plan!$F$6*Plan!$H$6*AC24*M24*O24+2*Plan!$G$6*Plan!$H$6*AD24*N24*O24))</f>
        <v>29.0544579625916</v>
      </c>
      <c r="AG24">
        <f>MIN(1,SUM(AH24:AL24))</f>
        <v>1</v>
      </c>
      <c r="AH24" t="n">
        <v>0.2279</v>
      </c>
      <c r="AI24" t="n">
        <v>0.9261</v>
      </c>
      <c r="AJ24" t="n">
        <v>0</v>
      </c>
      <c r="AK24" t="n">
        <v>0.1514</v>
      </c>
      <c r="AL24" t="n">
        <v>0</v>
      </c>
      <c r="AM24" t="n">
        <v>181.8000030517578</v>
      </c>
      <c r="AN24" t="n">
        <v>1</v>
      </c>
    </row>
    <row r="25">
      <c r="A25" t="inlineStr">
        <is>
          <t>48091310903</t>
        </is>
      </c>
      <c r="B25" t="inlineStr">
        <is>
          <t>78132</t>
        </is>
      </c>
      <c r="C25" t="n">
        <v>7359</v>
      </c>
      <c r="D25" t="n">
        <v>42.40000152587891</v>
      </c>
      <c r="E25" t="n">
        <v>0</v>
      </c>
      <c r="F25" t="n">
        <v>101</v>
      </c>
      <c r="G25" t="n">
        <v>68.30000305175781</v>
      </c>
      <c r="H25" t="n">
        <v>337.8999938964844</v>
      </c>
      <c r="I25" t="n">
        <v>1</v>
      </c>
      <c r="J25" t="n">
        <v>14.094</v>
      </c>
      <c r="K25" t="n">
        <v>0</v>
      </c>
      <c r="L25" t="n">
        <v>25.966</v>
      </c>
      <c r="M25" t="n">
        <v>11.085</v>
      </c>
      <c r="N25" t="n">
        <v>78.907</v>
      </c>
      <c r="O25" t="n">
        <v>0.168</v>
      </c>
      <c r="P25" t="n">
        <v>0</v>
      </c>
      <c r="Q25" t="n">
        <v>0.114</v>
      </c>
      <c r="R25" t="n">
        <v>0.164</v>
      </c>
      <c r="S25" t="n">
        <v>0.5629999999999999</v>
      </c>
      <c r="T25" t="n">
        <v>0.136</v>
      </c>
      <c r="U25" t="n">
        <v>0</v>
      </c>
      <c r="V25" t="n">
        <v>0</v>
      </c>
      <c r="W25" t="n">
        <v>0</v>
      </c>
      <c r="X25" t="n">
        <v>0</v>
      </c>
      <c r="Y25" t="n">
        <v>0.224</v>
      </c>
      <c r="Z25" t="n">
        <v>0.098</v>
      </c>
      <c r="AA25" t="n">
        <v>0.638</v>
      </c>
      <c r="AB25" t="n">
        <v>0.171</v>
      </c>
      <c r="AC25" t="n">
        <v>0.493</v>
      </c>
      <c r="AD25" t="n">
        <v>0.6840000000000001</v>
      </c>
      <c r="AE25">
        <f>SUMPRODUCT(Plan!$C$6:$H$6,D25:I25)</f>
        <v>143.400001525879</v>
      </c>
      <c r="AF25">
        <f>SQRT(MAX(0,Plan!$C$6*J25^2+Plan!$D$6*K25^2+Plan!$E$6*L25^2+Plan!$F$6*M25^2+Plan!$G$6*N25^2+Plan!$H$6*O25^2+2*Plan!$C$6*Plan!$D$6*P25*J25*K25+2*Plan!$C$6*Plan!$E$6*Q25*J25*L25+2*Plan!$C$6*Plan!$F$6*R25*J25*M25+2*Plan!$C$6*Plan!$G$6*S25*J25*N25+2*Plan!$C$6*Plan!$H$6*T25*J25*O25+2*Plan!$D$6*Plan!$E$6*U25*K25*L25+2*Plan!$D$6*Plan!$F$6*V25*K25*M25+2*Plan!$D$6*Plan!$G$6*W25*K25*N25+2*Plan!$D$6*Plan!$H$6*X25*K25*O25+2*Plan!$E$6*Plan!$F$6*Y25*L25*M25+2*Plan!$E$6*Plan!$G$6*Z25*L25*N25+2*Plan!$E$6*Plan!$H$6*AA25*L25*O25+2*Plan!$F$6*Plan!$G$6*AB25*M25*N25+2*Plan!$F$6*Plan!$H$6*AC25*M25*O25+2*Plan!$G$6*Plan!$H$6*AD25*N25*O25))</f>
        <v>30.9243264649693</v>
      </c>
      <c r="AG25">
        <f>MIN(1,SUM(AH25:AL25))</f>
        <v>0.6824</v>
      </c>
      <c r="AH25" t="n">
        <v>0.2858</v>
      </c>
      <c r="AI25" t="n">
        <v>0.3966</v>
      </c>
      <c r="AJ25" t="n">
        <v>0</v>
      </c>
      <c r="AK25" t="n">
        <v>0</v>
      </c>
      <c r="AL25" t="n">
        <v>0</v>
      </c>
      <c r="AM25" t="n">
        <v>159.1999969482422</v>
      </c>
      <c r="AN25" t="n">
        <v>1</v>
      </c>
    </row>
    <row r="26">
      <c r="A26" t="inlineStr">
        <is>
          <t>48091310405</t>
        </is>
      </c>
      <c r="B26" t="inlineStr">
        <is>
          <t>78130</t>
        </is>
      </c>
      <c r="C26" t="n">
        <v>3564</v>
      </c>
      <c r="D26" t="n">
        <v>44.70000076293945</v>
      </c>
      <c r="E26" t="n">
        <v>0</v>
      </c>
      <c r="F26" t="n">
        <v>96</v>
      </c>
      <c r="G26" t="n">
        <v>64.40000152587891</v>
      </c>
      <c r="H26" t="n">
        <v>100.8000030517578</v>
      </c>
      <c r="I26" t="n">
        <v>93.69999694824219</v>
      </c>
      <c r="J26" t="n">
        <v>13.162</v>
      </c>
      <c r="K26" t="n">
        <v>0</v>
      </c>
      <c r="L26" t="n">
        <v>18.097</v>
      </c>
      <c r="M26" t="n">
        <v>9.702999999999999</v>
      </c>
      <c r="N26" t="n">
        <v>26.57</v>
      </c>
      <c r="O26" t="n">
        <v>12.079</v>
      </c>
      <c r="P26" t="n">
        <v>0</v>
      </c>
      <c r="Q26" t="n">
        <v>0.07199999999999999</v>
      </c>
      <c r="R26" t="n">
        <v>0.08799999999999999</v>
      </c>
      <c r="S26" t="n">
        <v>0.252</v>
      </c>
      <c r="T26" t="n">
        <v>0.129</v>
      </c>
      <c r="U26" t="n">
        <v>0</v>
      </c>
      <c r="V26" t="n">
        <v>0</v>
      </c>
      <c r="W26" t="n">
        <v>0</v>
      </c>
      <c r="X26" t="n">
        <v>0</v>
      </c>
      <c r="Y26" t="n">
        <v>0.199</v>
      </c>
      <c r="Z26" t="n">
        <v>0.109</v>
      </c>
      <c r="AA26" t="n">
        <v>0.762</v>
      </c>
      <c r="AB26" t="n">
        <v>0.113</v>
      </c>
      <c r="AC26" t="n">
        <v>0.607</v>
      </c>
      <c r="AD26" t="n">
        <v>0.5669999999999999</v>
      </c>
      <c r="AE26">
        <f>SUMPRODUCT(Plan!$C$6:$H$6,D26:I26)</f>
        <v>140.700000762939</v>
      </c>
      <c r="AF26">
        <f>SQRT(MAX(0,Plan!$C$6*J26^2+Plan!$D$6*K26^2+Plan!$E$6*L26^2+Plan!$F$6*M26^2+Plan!$G$6*N26^2+Plan!$H$6*O26^2+2*Plan!$C$6*Plan!$D$6*P26*J26*K26+2*Plan!$C$6*Plan!$E$6*Q26*J26*L26+2*Plan!$C$6*Plan!$F$6*R26*J26*M26+2*Plan!$C$6*Plan!$G$6*S26*J26*N26+2*Plan!$C$6*Plan!$H$6*T26*J26*O26+2*Plan!$D$6*Plan!$E$6*U26*K26*L26+2*Plan!$D$6*Plan!$F$6*V26*K26*M26+2*Plan!$D$6*Plan!$G$6*W26*K26*N26+2*Plan!$D$6*Plan!$H$6*X26*K26*O26+2*Plan!$E$6*Plan!$F$6*Y26*L26*M26+2*Plan!$E$6*Plan!$G$6*Z26*L26*N26+2*Plan!$E$6*Plan!$H$6*AA26*L26*O26+2*Plan!$F$6*Plan!$G$6*AB26*M26*N26+2*Plan!$F$6*Plan!$H$6*AC26*M26*O26+2*Plan!$G$6*Plan!$H$6*AD26*N26*O26))</f>
        <v>23.1309187845187</v>
      </c>
      <c r="AG26">
        <f>MIN(1,SUM(AH26:AL26))</f>
        <v>1</v>
      </c>
      <c r="AH26" t="n">
        <v>0.8945</v>
      </c>
      <c r="AI26" t="n">
        <v>0</v>
      </c>
      <c r="AJ26" t="n">
        <v>0</v>
      </c>
      <c r="AK26" t="n">
        <v>0.9821</v>
      </c>
      <c r="AL26" t="n">
        <v>0.1857</v>
      </c>
      <c r="AM26" t="n">
        <v>95.5</v>
      </c>
      <c r="AN26" t="n">
        <v>1</v>
      </c>
    </row>
    <row r="27">
      <c r="A27" t="inlineStr">
        <is>
          <t>48091310707</t>
        </is>
      </c>
      <c r="B27" t="inlineStr">
        <is>
          <t>78132</t>
        </is>
      </c>
      <c r="C27" t="n">
        <v>4054</v>
      </c>
      <c r="D27" t="n">
        <v>55.20000076293945</v>
      </c>
      <c r="E27" t="n">
        <v>0</v>
      </c>
      <c r="F27" t="n">
        <v>70.59999847412109</v>
      </c>
      <c r="G27" t="n">
        <v>17.60000038146973</v>
      </c>
      <c r="H27" t="n">
        <v>112.1999969482422</v>
      </c>
      <c r="I27" t="n">
        <v>9.899999618530273</v>
      </c>
      <c r="J27" t="n">
        <v>18.691</v>
      </c>
      <c r="K27" t="n">
        <v>0</v>
      </c>
      <c r="L27" t="n">
        <v>18.052</v>
      </c>
      <c r="M27" t="n">
        <v>3.028</v>
      </c>
      <c r="N27" t="n">
        <v>39.36</v>
      </c>
      <c r="O27" t="n">
        <v>2.007</v>
      </c>
      <c r="P27" t="n">
        <v>0</v>
      </c>
      <c r="Q27" t="n">
        <v>0.109</v>
      </c>
      <c r="R27" t="n">
        <v>0.133</v>
      </c>
      <c r="S27" t="n">
        <v>0.197</v>
      </c>
      <c r="T27" t="n">
        <v>0.074</v>
      </c>
      <c r="U27" t="n">
        <v>0</v>
      </c>
      <c r="V27" t="n">
        <v>0</v>
      </c>
      <c r="W27" t="n">
        <v>0</v>
      </c>
      <c r="X27" t="n">
        <v>0</v>
      </c>
      <c r="Y27" t="n">
        <v>0.199</v>
      </c>
      <c r="Z27" t="n">
        <v>0.056</v>
      </c>
      <c r="AA27" t="n">
        <v>0.697</v>
      </c>
      <c r="AB27" t="n">
        <v>0.06900000000000001</v>
      </c>
      <c r="AC27" t="n">
        <v>0.302</v>
      </c>
      <c r="AD27" t="n">
        <v>0.727</v>
      </c>
      <c r="AE27">
        <f>SUMPRODUCT(Plan!$C$6:$H$6,D27:I27)</f>
        <v>125.799999237061</v>
      </c>
      <c r="AF27">
        <f>SQRT(MAX(0,Plan!$C$6*J27^2+Plan!$D$6*K27^2+Plan!$E$6*L27^2+Plan!$F$6*M27^2+Plan!$G$6*N27^2+Plan!$H$6*O27^2+2*Plan!$C$6*Plan!$D$6*P27*J27*K27+2*Plan!$C$6*Plan!$E$6*Q27*J27*L27+2*Plan!$C$6*Plan!$F$6*R27*J27*M27+2*Plan!$C$6*Plan!$G$6*S27*J27*N27+2*Plan!$C$6*Plan!$H$6*T27*J27*O27+2*Plan!$D$6*Plan!$E$6*U27*K27*L27+2*Plan!$D$6*Plan!$F$6*V27*K27*M27+2*Plan!$D$6*Plan!$G$6*W27*K27*N27+2*Plan!$D$6*Plan!$H$6*X27*K27*O27+2*Plan!$E$6*Plan!$F$6*Y27*L27*M27+2*Plan!$E$6*Plan!$G$6*Z27*L27*N27+2*Plan!$E$6*Plan!$H$6*AA27*L27*O27+2*Plan!$F$6*Plan!$G$6*AB27*M27*N27+2*Plan!$F$6*Plan!$H$6*AC27*M27*O27+2*Plan!$G$6*Plan!$H$6*AD27*N27*O27))</f>
        <v>27.3639096288524</v>
      </c>
      <c r="AG27">
        <f>MIN(1,SUM(AH27:AL27))</f>
        <v>1</v>
      </c>
      <c r="AH27" t="n">
        <v>0.3873</v>
      </c>
      <c r="AI27" t="n">
        <v>0.2098</v>
      </c>
      <c r="AJ27" t="n">
        <v>0</v>
      </c>
      <c r="AK27" t="n">
        <v>0.5124</v>
      </c>
      <c r="AL27" t="n">
        <v>0.4841</v>
      </c>
      <c r="AM27" t="n">
        <v>227.1999969482422</v>
      </c>
      <c r="AN27" t="n">
        <v>1</v>
      </c>
    </row>
    <row r="28">
      <c r="A28" t="inlineStr">
        <is>
          <t>48091310613</t>
        </is>
      </c>
      <c r="B28" t="inlineStr">
        <is>
          <t>78133</t>
        </is>
      </c>
      <c r="C28" t="n">
        <v>4122</v>
      </c>
      <c r="D28" t="n">
        <v>27</v>
      </c>
      <c r="E28" t="n">
        <v>0</v>
      </c>
      <c r="F28" t="n">
        <v>90.59999847412109</v>
      </c>
      <c r="G28" t="n">
        <v>107.8000030517578</v>
      </c>
      <c r="H28" t="n">
        <v>110.3000030517578</v>
      </c>
      <c r="I28" t="n">
        <v>63.59999847412109</v>
      </c>
      <c r="J28" t="n">
        <v>8.009</v>
      </c>
      <c r="K28" t="n">
        <v>0</v>
      </c>
      <c r="L28" t="n">
        <v>19.047</v>
      </c>
      <c r="M28" t="n">
        <v>15.99</v>
      </c>
      <c r="N28" t="n">
        <v>32.444</v>
      </c>
      <c r="O28" t="n">
        <v>8.176</v>
      </c>
      <c r="P28" t="n">
        <v>0</v>
      </c>
      <c r="Q28" t="n">
        <v>0.111</v>
      </c>
      <c r="R28" t="n">
        <v>0.156</v>
      </c>
      <c r="S28" t="n">
        <v>0.197</v>
      </c>
      <c r="T28" t="n">
        <v>0.202</v>
      </c>
      <c r="U28" t="n">
        <v>0</v>
      </c>
      <c r="V28" t="n">
        <v>0</v>
      </c>
      <c r="W28" t="n">
        <v>0</v>
      </c>
      <c r="X28" t="n">
        <v>0</v>
      </c>
      <c r="Y28" t="n">
        <v>0.17</v>
      </c>
      <c r="Z28" t="n">
        <v>0.102</v>
      </c>
      <c r="AA28" t="n">
        <v>0.661</v>
      </c>
      <c r="AB28" t="n">
        <v>0.115</v>
      </c>
      <c r="AC28" t="n">
        <v>0.711</v>
      </c>
      <c r="AD28" t="n">
        <v>0.5620000000000001</v>
      </c>
      <c r="AE28">
        <f>SUMPRODUCT(Plan!$C$6:$H$6,D28:I28)</f>
        <v>117.599998474121</v>
      </c>
      <c r="AF28">
        <f>SQRT(MAX(0,Plan!$C$6*J28^2+Plan!$D$6*K28^2+Plan!$E$6*L28^2+Plan!$F$6*M28^2+Plan!$G$6*N28^2+Plan!$H$6*O28^2+2*Plan!$C$6*Plan!$D$6*P28*J28*K28+2*Plan!$C$6*Plan!$E$6*Q28*J28*L28+2*Plan!$C$6*Plan!$F$6*R28*J28*M28+2*Plan!$C$6*Plan!$G$6*S28*J28*N28+2*Plan!$C$6*Plan!$H$6*T28*J28*O28+2*Plan!$D$6*Plan!$E$6*U28*K28*L28+2*Plan!$D$6*Plan!$F$6*V28*K28*M28+2*Plan!$D$6*Plan!$G$6*W28*K28*N28+2*Plan!$D$6*Plan!$H$6*X28*K28*O28+2*Plan!$E$6*Plan!$F$6*Y28*L28*M28+2*Plan!$E$6*Plan!$G$6*Z28*L28*N28+2*Plan!$E$6*Plan!$H$6*AA28*L28*O28+2*Plan!$F$6*Plan!$G$6*AB28*M28*N28+2*Plan!$F$6*Plan!$H$6*AC28*M28*O28+2*Plan!$G$6*Plan!$H$6*AD28*N28*O28))</f>
        <v>21.4662017577866</v>
      </c>
      <c r="AG28">
        <f>MIN(1,SUM(AH28:AL28))</f>
        <v>0.8919</v>
      </c>
      <c r="AH28" t="n">
        <v>0</v>
      </c>
      <c r="AI28" t="n">
        <v>0.8919</v>
      </c>
      <c r="AJ28" t="n">
        <v>0</v>
      </c>
      <c r="AK28" t="n">
        <v>0</v>
      </c>
      <c r="AL28" t="n">
        <v>0</v>
      </c>
      <c r="AM28" t="n">
        <v>33.5</v>
      </c>
      <c r="AN28" t="n">
        <v>1</v>
      </c>
    </row>
    <row r="29">
      <c r="A29" t="inlineStr">
        <is>
          <t>48091310803</t>
        </is>
      </c>
      <c r="B29" t="inlineStr">
        <is>
          <t>78132</t>
        </is>
      </c>
      <c r="C29" t="n">
        <v>5694</v>
      </c>
      <c r="D29" t="n">
        <v>19.10000038146973</v>
      </c>
      <c r="E29" t="n">
        <v>0</v>
      </c>
      <c r="F29" t="n">
        <v>86.90000152587891</v>
      </c>
      <c r="G29" t="n">
        <v>31.70000076293945</v>
      </c>
      <c r="H29" t="n">
        <v>145.1000061035156</v>
      </c>
      <c r="I29" t="n">
        <v>1.399999976158142</v>
      </c>
      <c r="J29" t="n">
        <v>7.547</v>
      </c>
      <c r="K29" t="n">
        <v>0</v>
      </c>
      <c r="L29" t="n">
        <v>27.674</v>
      </c>
      <c r="M29" t="n">
        <v>5.253</v>
      </c>
      <c r="N29" t="n">
        <v>59.404</v>
      </c>
      <c r="O29" t="n">
        <v>0.339</v>
      </c>
      <c r="P29" t="n">
        <v>0</v>
      </c>
      <c r="Q29" t="n">
        <v>0.13</v>
      </c>
      <c r="R29" t="n">
        <v>0.221</v>
      </c>
      <c r="S29" t="n">
        <v>0.411</v>
      </c>
      <c r="T29" t="n">
        <v>0.158</v>
      </c>
      <c r="U29" t="n">
        <v>0</v>
      </c>
      <c r="V29" t="n">
        <v>0</v>
      </c>
      <c r="W29" t="n">
        <v>0</v>
      </c>
      <c r="X29" t="n">
        <v>0</v>
      </c>
      <c r="Y29" t="n">
        <v>0.189</v>
      </c>
      <c r="Z29" t="n">
        <v>0.137</v>
      </c>
      <c r="AA29" t="n">
        <v>0.742</v>
      </c>
      <c r="AB29" t="n">
        <v>0.172</v>
      </c>
      <c r="AC29" t="n">
        <v>0.346</v>
      </c>
      <c r="AD29" t="n">
        <v>0.717</v>
      </c>
      <c r="AE29">
        <f>SUMPRODUCT(Plan!$C$6:$H$6,D29:I29)</f>
        <v>106.000001907349</v>
      </c>
      <c r="AF29">
        <f>SQRT(MAX(0,Plan!$C$6*J29^2+Plan!$D$6*K29^2+Plan!$E$6*L29^2+Plan!$F$6*M29^2+Plan!$G$6*N29^2+Plan!$H$6*O29^2+2*Plan!$C$6*Plan!$D$6*P29*J29*K29+2*Plan!$C$6*Plan!$E$6*Q29*J29*L29+2*Plan!$C$6*Plan!$F$6*R29*J29*M29+2*Plan!$C$6*Plan!$G$6*S29*J29*N29+2*Plan!$C$6*Plan!$H$6*T29*J29*O29+2*Plan!$D$6*Plan!$E$6*U29*K29*L29+2*Plan!$D$6*Plan!$F$6*V29*K29*M29+2*Plan!$D$6*Plan!$G$6*W29*K29*N29+2*Plan!$D$6*Plan!$H$6*X29*K29*O29+2*Plan!$E$6*Plan!$F$6*Y29*L29*M29+2*Plan!$E$6*Plan!$G$6*Z29*L29*N29+2*Plan!$E$6*Plan!$H$6*AA29*L29*O29+2*Plan!$F$6*Plan!$G$6*AB29*M29*N29+2*Plan!$F$6*Plan!$H$6*AC29*M29*O29+2*Plan!$G$6*Plan!$H$6*AD29*N29*O29))</f>
        <v>29.616042296026</v>
      </c>
      <c r="AG29">
        <f>MIN(1,SUM(AH29:AL29))</f>
        <v>1</v>
      </c>
      <c r="AH29" t="n">
        <v>0.4478</v>
      </c>
      <c r="AI29" t="n">
        <v>0</v>
      </c>
      <c r="AJ29" t="n">
        <v>0</v>
      </c>
      <c r="AK29" t="n">
        <v>0.7098</v>
      </c>
      <c r="AL29" t="n">
        <v>0.6761</v>
      </c>
      <c r="AM29" t="n">
        <v>24.79999923706055</v>
      </c>
      <c r="AN29" t="n">
        <v>1</v>
      </c>
    </row>
    <row r="30">
      <c r="A30" t="inlineStr">
        <is>
          <t>48091310705</t>
        </is>
      </c>
      <c r="B30" t="inlineStr">
        <is>
          <t>78163</t>
        </is>
      </c>
      <c r="C30" t="n">
        <v>2708</v>
      </c>
      <c r="D30" t="n">
        <v>31</v>
      </c>
      <c r="E30" t="n">
        <v>0</v>
      </c>
      <c r="F30" t="n">
        <v>61.29999923706055</v>
      </c>
      <c r="G30" t="n">
        <v>53.20000076293945</v>
      </c>
      <c r="H30" t="n">
        <v>57.79999923706055</v>
      </c>
      <c r="I30" t="n">
        <v>66.09999847412109</v>
      </c>
      <c r="J30" t="n">
        <v>9.134</v>
      </c>
      <c r="K30" t="n">
        <v>0</v>
      </c>
      <c r="L30" t="n">
        <v>12.426</v>
      </c>
      <c r="M30" t="n">
        <v>7.865</v>
      </c>
      <c r="N30" t="n">
        <v>18.189</v>
      </c>
      <c r="O30" t="n">
        <v>8.736000000000001</v>
      </c>
      <c r="P30" t="n">
        <v>0</v>
      </c>
      <c r="Q30" t="n">
        <v>0.123</v>
      </c>
      <c r="R30" t="n">
        <v>0.143</v>
      </c>
      <c r="S30" t="n">
        <v>0.251</v>
      </c>
      <c r="T30" t="n">
        <v>0.188</v>
      </c>
      <c r="U30" t="n">
        <v>0</v>
      </c>
      <c r="V30" t="n">
        <v>0</v>
      </c>
      <c r="W30" t="n">
        <v>0</v>
      </c>
      <c r="X30" t="n">
        <v>0</v>
      </c>
      <c r="Y30" t="n">
        <v>0.176</v>
      </c>
      <c r="Z30" t="n">
        <v>0.067</v>
      </c>
      <c r="AA30" t="n">
        <v>0.718</v>
      </c>
      <c r="AB30" t="n">
        <v>0.149</v>
      </c>
      <c r="AC30" t="n">
        <v>0.662</v>
      </c>
      <c r="AD30" t="n">
        <v>0.548</v>
      </c>
      <c r="AE30">
        <f>SUMPRODUCT(Plan!$C$6:$H$6,D30:I30)</f>
        <v>92.2999992370606</v>
      </c>
      <c r="AF30">
        <f>SQRT(MAX(0,Plan!$C$6*J30^2+Plan!$D$6*K30^2+Plan!$E$6*L30^2+Plan!$F$6*M30^2+Plan!$G$6*N30^2+Plan!$H$6*O30^2+2*Plan!$C$6*Plan!$D$6*P30*J30*K30+2*Plan!$C$6*Plan!$E$6*Q30*J30*L30+2*Plan!$C$6*Plan!$F$6*R30*J30*M30+2*Plan!$C$6*Plan!$G$6*S30*J30*N30+2*Plan!$C$6*Plan!$H$6*T30*J30*O30+2*Plan!$D$6*Plan!$E$6*U30*K30*L30+2*Plan!$D$6*Plan!$F$6*V30*K30*M30+2*Plan!$D$6*Plan!$G$6*W30*K30*N30+2*Plan!$D$6*Plan!$H$6*X30*K30*O30+2*Plan!$E$6*Plan!$F$6*Y30*L30*M30+2*Plan!$E$6*Plan!$G$6*Z30*L30*N30+2*Plan!$E$6*Plan!$H$6*AA30*L30*O30+2*Plan!$F$6*Plan!$G$6*AB30*M30*N30+2*Plan!$F$6*Plan!$H$6*AC30*M30*O30+2*Plan!$G$6*Plan!$H$6*AD30*N30*O30))</f>
        <v>16.3020307527621</v>
      </c>
      <c r="AG30">
        <f>MIN(1,SUM(AH30:AL30))</f>
        <v>0.9353</v>
      </c>
      <c r="AH30" t="n">
        <v>0</v>
      </c>
      <c r="AI30" t="n">
        <v>0</v>
      </c>
      <c r="AJ30" t="n">
        <v>0.9353</v>
      </c>
      <c r="AK30" t="n">
        <v>0</v>
      </c>
      <c r="AL30" t="n">
        <v>0</v>
      </c>
      <c r="AM30" t="n">
        <v>66.90000152587891</v>
      </c>
      <c r="AN30" t="n">
        <v>1</v>
      </c>
    </row>
    <row r="31">
      <c r="A31" t="inlineStr">
        <is>
          <t>48091310301</t>
        </is>
      </c>
      <c r="B31" t="inlineStr">
        <is>
          <t>78130</t>
        </is>
      </c>
      <c r="C31" t="n">
        <v>3100</v>
      </c>
      <c r="D31" t="n">
        <v>15.60000038146973</v>
      </c>
      <c r="E31" t="n">
        <v>0</v>
      </c>
      <c r="F31" t="n">
        <v>72</v>
      </c>
      <c r="G31" t="n">
        <v>54.79999923706055</v>
      </c>
      <c r="H31" t="n">
        <v>121.5999984741211</v>
      </c>
      <c r="I31" t="n">
        <v>2.299999952316284</v>
      </c>
      <c r="J31" t="n">
        <v>5.162</v>
      </c>
      <c r="K31" t="n">
        <v>0</v>
      </c>
      <c r="L31" t="n">
        <v>19.482</v>
      </c>
      <c r="M31" t="n">
        <v>9.691000000000001</v>
      </c>
      <c r="N31" t="n">
        <v>31.833</v>
      </c>
      <c r="O31" t="n">
        <v>0.379</v>
      </c>
      <c r="P31" t="n">
        <v>0</v>
      </c>
      <c r="Q31" t="n">
        <v>0.101</v>
      </c>
      <c r="R31" t="n">
        <v>0.175</v>
      </c>
      <c r="S31" t="n">
        <v>0.506</v>
      </c>
      <c r="T31" t="n">
        <v>0.158</v>
      </c>
      <c r="U31" t="n">
        <v>0</v>
      </c>
      <c r="V31" t="n">
        <v>0</v>
      </c>
      <c r="W31" t="n">
        <v>0</v>
      </c>
      <c r="X31" t="n">
        <v>0</v>
      </c>
      <c r="Y31" t="n">
        <v>0.171</v>
      </c>
      <c r="Z31" t="n">
        <v>0.08799999999999999</v>
      </c>
      <c r="AA31" t="n">
        <v>0.76</v>
      </c>
      <c r="AB31" t="n">
        <v>0.139</v>
      </c>
      <c r="AC31" t="n">
        <v>0.57</v>
      </c>
      <c r="AD31" t="n">
        <v>0.535</v>
      </c>
      <c r="AE31">
        <f>SUMPRODUCT(Plan!$C$6:$H$6,D31:I31)</f>
        <v>87.6000003814697</v>
      </c>
      <c r="AF31">
        <f>SQRT(MAX(0,Plan!$C$6*J31^2+Plan!$D$6*K31^2+Plan!$E$6*L31^2+Plan!$F$6*M31^2+Plan!$G$6*N31^2+Plan!$H$6*O31^2+2*Plan!$C$6*Plan!$D$6*P31*J31*K31+2*Plan!$C$6*Plan!$E$6*Q31*J31*L31+2*Plan!$C$6*Plan!$F$6*R31*J31*M31+2*Plan!$C$6*Plan!$G$6*S31*J31*N31+2*Plan!$C$6*Plan!$H$6*T31*J31*O31+2*Plan!$D$6*Plan!$E$6*U31*K31*L31+2*Plan!$D$6*Plan!$F$6*V31*K31*M31+2*Plan!$D$6*Plan!$G$6*W31*K31*N31+2*Plan!$D$6*Plan!$H$6*X31*K31*O31+2*Plan!$E$6*Plan!$F$6*Y31*L31*M31+2*Plan!$E$6*Plan!$G$6*Z31*L31*N31+2*Plan!$E$6*Plan!$H$6*AA31*L31*O31+2*Plan!$F$6*Plan!$G$6*AB31*M31*N31+2*Plan!$F$6*Plan!$H$6*AC31*M31*O31+2*Plan!$G$6*Plan!$H$6*AD31*N31*O31))</f>
        <v>20.6520923145332</v>
      </c>
      <c r="AG31">
        <f>MIN(1,SUM(AH31:AL31))</f>
        <v>1</v>
      </c>
      <c r="AH31" t="n">
        <v>0.916</v>
      </c>
      <c r="AI31" t="n">
        <v>0</v>
      </c>
      <c r="AJ31" t="n">
        <v>0</v>
      </c>
      <c r="AK31" t="n">
        <v>0.9625</v>
      </c>
      <c r="AL31" t="n">
        <v>0.2241</v>
      </c>
      <c r="AM31" t="n">
        <v>8</v>
      </c>
      <c r="AN31" t="n">
        <v>1</v>
      </c>
    </row>
    <row r="32">
      <c r="A32" t="inlineStr">
        <is>
          <t>48091310801</t>
        </is>
      </c>
      <c r="B32" t="inlineStr">
        <is>
          <t>78266</t>
        </is>
      </c>
      <c r="C32" t="n">
        <v>7036</v>
      </c>
      <c r="D32" t="n">
        <v>19.29999923706055</v>
      </c>
      <c r="E32" t="n">
        <v>0</v>
      </c>
      <c r="F32" t="n">
        <v>68.09999847412109</v>
      </c>
      <c r="G32" t="n">
        <v>20.20000076293945</v>
      </c>
      <c r="H32" t="n">
        <v>270.5</v>
      </c>
      <c r="I32" t="n">
        <v>0.6000000238418579</v>
      </c>
      <c r="J32" t="n">
        <v>6.29</v>
      </c>
      <c r="K32" t="n">
        <v>0</v>
      </c>
      <c r="L32" t="n">
        <v>21.184</v>
      </c>
      <c r="M32" t="n">
        <v>3.806</v>
      </c>
      <c r="N32" t="n">
        <v>77.553</v>
      </c>
      <c r="O32" t="n">
        <v>0.153</v>
      </c>
      <c r="P32" t="n">
        <v>0</v>
      </c>
      <c r="Q32" t="n">
        <v>0.08400000000000001</v>
      </c>
      <c r="R32" t="n">
        <v>0.142</v>
      </c>
      <c r="S32" t="n">
        <v>0.454</v>
      </c>
      <c r="T32" t="n">
        <v>0.075</v>
      </c>
      <c r="U32" t="n">
        <v>0</v>
      </c>
      <c r="V32" t="n">
        <v>0</v>
      </c>
      <c r="W32" t="n">
        <v>0</v>
      </c>
      <c r="X32" t="n">
        <v>0</v>
      </c>
      <c r="Y32" t="n">
        <v>0.14</v>
      </c>
      <c r="Z32" t="n">
        <v>0.095</v>
      </c>
      <c r="AA32" t="n">
        <v>0.5639999999999999</v>
      </c>
      <c r="AB32" t="n">
        <v>0.106</v>
      </c>
      <c r="AC32" t="n">
        <v>0.224</v>
      </c>
      <c r="AD32" t="n">
        <v>0.793</v>
      </c>
      <c r="AE32">
        <f>SUMPRODUCT(Plan!$C$6:$H$6,D32:I32)</f>
        <v>87.3999977111816</v>
      </c>
      <c r="AF32">
        <f>SQRT(MAX(0,Plan!$C$6*J32^2+Plan!$D$6*K32^2+Plan!$E$6*L32^2+Plan!$F$6*M32^2+Plan!$G$6*N32^2+Plan!$H$6*O32^2+2*Plan!$C$6*Plan!$D$6*P32*J32*K32+2*Plan!$C$6*Plan!$E$6*Q32*J32*L32+2*Plan!$C$6*Plan!$F$6*R32*J32*M32+2*Plan!$C$6*Plan!$G$6*S32*J32*N32+2*Plan!$C$6*Plan!$H$6*T32*J32*O32+2*Plan!$D$6*Plan!$E$6*U32*K32*L32+2*Plan!$D$6*Plan!$F$6*V32*K32*M32+2*Plan!$D$6*Plan!$G$6*W32*K32*N32+2*Plan!$D$6*Plan!$H$6*X32*K32*O32+2*Plan!$E$6*Plan!$F$6*Y32*L32*M32+2*Plan!$E$6*Plan!$G$6*Z32*L32*N32+2*Plan!$E$6*Plan!$H$6*AA32*L32*O32+2*Plan!$F$6*Plan!$G$6*AB32*M32*N32+2*Plan!$F$6*Plan!$H$6*AC32*M32*O32+2*Plan!$G$6*Plan!$H$6*AD32*N32*O32))</f>
        <v>22.5989272417962</v>
      </c>
      <c r="AG32">
        <f>MIN(1,SUM(AH32:AL32))</f>
        <v>1</v>
      </c>
      <c r="AH32" t="n">
        <v>0</v>
      </c>
      <c r="AI32" t="n">
        <v>0</v>
      </c>
      <c r="AJ32" t="n">
        <v>0.2103</v>
      </c>
      <c r="AK32" t="n">
        <v>0.1723</v>
      </c>
      <c r="AL32" t="n">
        <v>0.8901</v>
      </c>
      <c r="AM32" t="n">
        <v>46</v>
      </c>
      <c r="AN32" t="n">
        <v>1</v>
      </c>
    </row>
    <row r="33">
      <c r="A33" t="inlineStr">
        <is>
          <t>48091310905</t>
        </is>
      </c>
      <c r="B33" t="inlineStr">
        <is>
          <t>78132</t>
        </is>
      </c>
      <c r="C33" t="n">
        <v>3385</v>
      </c>
      <c r="D33" t="n">
        <v>43.90000152587891</v>
      </c>
      <c r="E33" t="n">
        <v>0</v>
      </c>
      <c r="F33" t="n">
        <v>43.20000076293945</v>
      </c>
      <c r="G33" t="n">
        <v>27.60000038146973</v>
      </c>
      <c r="H33" t="n">
        <v>59.90000152587891</v>
      </c>
      <c r="I33" t="n">
        <v>1.200000047683716</v>
      </c>
      <c r="J33" t="n">
        <v>14.966</v>
      </c>
      <c r="K33" t="n">
        <v>0</v>
      </c>
      <c r="L33" t="n">
        <v>12.693</v>
      </c>
      <c r="M33" t="n">
        <v>4.92</v>
      </c>
      <c r="N33" t="n">
        <v>29.081</v>
      </c>
      <c r="O33" t="n">
        <v>0.237</v>
      </c>
      <c r="P33" t="n">
        <v>0</v>
      </c>
      <c r="Q33" t="n">
        <v>0.104</v>
      </c>
      <c r="R33" t="n">
        <v>0.178</v>
      </c>
      <c r="S33" t="n">
        <v>0.08599999999999999</v>
      </c>
      <c r="T33" t="n">
        <v>0.134</v>
      </c>
      <c r="U33" t="n">
        <v>0</v>
      </c>
      <c r="V33" t="n">
        <v>0</v>
      </c>
      <c r="W33" t="n">
        <v>0</v>
      </c>
      <c r="X33" t="n">
        <v>0</v>
      </c>
      <c r="Y33" t="n">
        <v>0.089</v>
      </c>
      <c r="Z33" t="n">
        <v>0.08500000000000001</v>
      </c>
      <c r="AA33" t="n">
        <v>0.658</v>
      </c>
      <c r="AB33" t="n">
        <v>0.118</v>
      </c>
      <c r="AC33" t="n">
        <v>0.413</v>
      </c>
      <c r="AD33" t="n">
        <v>0.752</v>
      </c>
      <c r="AE33">
        <f>SUMPRODUCT(Plan!$C$6:$H$6,D33:I33)</f>
        <v>87.1000022888184</v>
      </c>
      <c r="AF33">
        <f>SQRT(MAX(0,Plan!$C$6*J33^2+Plan!$D$6*K33^2+Plan!$E$6*L33^2+Plan!$F$6*M33^2+Plan!$G$6*N33^2+Plan!$H$6*O33^2+2*Plan!$C$6*Plan!$D$6*P33*J33*K33+2*Plan!$C$6*Plan!$E$6*Q33*J33*L33+2*Plan!$C$6*Plan!$F$6*R33*J33*M33+2*Plan!$C$6*Plan!$G$6*S33*J33*N33+2*Plan!$C$6*Plan!$H$6*T33*J33*O33+2*Plan!$D$6*Plan!$E$6*U33*K33*L33+2*Plan!$D$6*Plan!$F$6*V33*K33*M33+2*Plan!$D$6*Plan!$G$6*W33*K33*N33+2*Plan!$D$6*Plan!$H$6*X33*K33*O33+2*Plan!$E$6*Plan!$F$6*Y33*L33*M33+2*Plan!$E$6*Plan!$G$6*Z33*L33*N33+2*Plan!$E$6*Plan!$H$6*AA33*L33*O33+2*Plan!$F$6*Plan!$G$6*AB33*M33*N33+2*Plan!$F$6*Plan!$H$6*AC33*M33*O33+2*Plan!$G$6*Plan!$H$6*AD33*N33*O33))</f>
        <v>20.6059651582739</v>
      </c>
      <c r="AG33">
        <f>MIN(1,SUM(AH33:AL33))</f>
        <v>1</v>
      </c>
      <c r="AH33" t="n">
        <v>0.6335</v>
      </c>
      <c r="AI33" t="n">
        <v>0.5413</v>
      </c>
      <c r="AJ33" t="n">
        <v>0</v>
      </c>
      <c r="AK33" t="n">
        <v>0.3945</v>
      </c>
      <c r="AL33" t="n">
        <v>0</v>
      </c>
      <c r="AM33" t="n">
        <v>36.29999923706055</v>
      </c>
      <c r="AN33" t="n">
        <v>1</v>
      </c>
    </row>
    <row r="34">
      <c r="A34" t="inlineStr">
        <is>
          <t>48091310708</t>
        </is>
      </c>
      <c r="B34" t="inlineStr">
        <is>
          <t>78163</t>
        </is>
      </c>
      <c r="C34" t="n">
        <v>3381</v>
      </c>
      <c r="D34" t="n">
        <v>9.300000190734863</v>
      </c>
      <c r="E34" t="n">
        <v>0</v>
      </c>
      <c r="F34" t="n">
        <v>41.20000076293945</v>
      </c>
      <c r="G34" t="n">
        <v>17.60000038146973</v>
      </c>
      <c r="H34" t="n">
        <v>166.1000061035156</v>
      </c>
      <c r="I34" t="n">
        <v>0.5</v>
      </c>
      <c r="J34" t="n">
        <v>3.249</v>
      </c>
      <c r="K34" t="n">
        <v>0</v>
      </c>
      <c r="L34" t="n">
        <v>12.092</v>
      </c>
      <c r="M34" t="n">
        <v>3.335</v>
      </c>
      <c r="N34" t="n">
        <v>33.187</v>
      </c>
      <c r="O34" t="n">
        <v>0.08799999999999999</v>
      </c>
      <c r="P34" t="n">
        <v>0</v>
      </c>
      <c r="Q34" t="n">
        <v>0.114</v>
      </c>
      <c r="R34" t="n">
        <v>0.128</v>
      </c>
      <c r="S34" t="n">
        <v>0.387</v>
      </c>
      <c r="T34" t="n">
        <v>0.106</v>
      </c>
      <c r="U34" t="n">
        <v>0</v>
      </c>
      <c r="V34" t="n">
        <v>0</v>
      </c>
      <c r="W34" t="n">
        <v>0</v>
      </c>
      <c r="X34" t="n">
        <v>0</v>
      </c>
      <c r="Y34" t="n">
        <v>0.208</v>
      </c>
      <c r="Z34" t="n">
        <v>0.133</v>
      </c>
      <c r="AA34" t="n">
        <v>0.664</v>
      </c>
      <c r="AB34" t="n">
        <v>0.148</v>
      </c>
      <c r="AC34" t="n">
        <v>0.397</v>
      </c>
      <c r="AD34" t="n">
        <v>0.761</v>
      </c>
      <c r="AE34">
        <f>SUMPRODUCT(Plan!$C$6:$H$6,D34:I34)</f>
        <v>50.5000009536743</v>
      </c>
      <c r="AF34">
        <f>SQRT(MAX(0,Plan!$C$6*J34^2+Plan!$D$6*K34^2+Plan!$E$6*L34^2+Plan!$F$6*M34^2+Plan!$G$6*N34^2+Plan!$H$6*O34^2+2*Plan!$C$6*Plan!$D$6*P34*J34*K34+2*Plan!$C$6*Plan!$E$6*Q34*J34*L34+2*Plan!$C$6*Plan!$F$6*R34*J34*M34+2*Plan!$C$6*Plan!$G$6*S34*J34*N34+2*Plan!$C$6*Plan!$H$6*T34*J34*O34+2*Plan!$D$6*Plan!$E$6*U34*K34*L34+2*Plan!$D$6*Plan!$F$6*V34*K34*M34+2*Plan!$D$6*Plan!$G$6*W34*K34*N34+2*Plan!$D$6*Plan!$H$6*X34*K34*O34+2*Plan!$E$6*Plan!$F$6*Y34*L34*M34+2*Plan!$E$6*Plan!$G$6*Z34*L34*N34+2*Plan!$E$6*Plan!$H$6*AA34*L34*O34+2*Plan!$F$6*Plan!$G$6*AB34*M34*N34+2*Plan!$F$6*Plan!$H$6*AC34*M34*O34+2*Plan!$G$6*Plan!$H$6*AD34*N34*O34))</f>
        <v>12.8736117707503</v>
      </c>
      <c r="AG34">
        <f>MIN(1,SUM(AH34:AL34))</f>
        <v>0.9637</v>
      </c>
      <c r="AH34" t="n">
        <v>0</v>
      </c>
      <c r="AI34" t="n">
        <v>0</v>
      </c>
      <c r="AJ34" t="n">
        <v>0.6536999999999999</v>
      </c>
      <c r="AK34" t="n">
        <v>0</v>
      </c>
      <c r="AL34" t="n">
        <v>0.31</v>
      </c>
      <c r="AM34" t="n">
        <v>29.39999961853027</v>
      </c>
      <c r="AN34" t="n">
        <v>1</v>
      </c>
    </row>
  </sheetData>
  <autoFilter ref="A1:AN3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s>
  <sheetData>
    <row r="1">
      <c r="A1" s="16" t="inlineStr">
        <is>
          <t>ZIP area (ZCTA, not always the mailing ZIP)</t>
        </is>
      </c>
      <c r="B1" s="16" t="inlineStr">
        <is>
          <t>Eligible uninsured (who counts)</t>
        </is>
      </c>
      <c r="C1" s="16" t="inlineStr">
        <is>
          <t>Of them, within reach of the plan</t>
        </is>
      </c>
    </row>
    <row r="2">
      <c r="A2" t="inlineStr">
        <is>
          <t>78130</t>
        </is>
      </c>
      <c r="B2">
        <f>SUMIF('ZIP parts'!$B$2:$B$63,A2,'ZIP parts'!$E$2:$E$63)</f>
        <v>5430.56626705627</v>
      </c>
      <c r="C2">
        <f>SUMIF('ZIP parts'!$B$2:$B$63,A2,'ZIP parts'!$F$2:$F$63)</f>
        <v>5430.56626705627</v>
      </c>
    </row>
    <row r="3">
      <c r="A3" t="inlineStr">
        <is>
          <t>78132</t>
        </is>
      </c>
      <c r="B3">
        <f>SUMIF('ZIP parts'!$B$2:$B$63,A3,'ZIP parts'!$E$2:$E$63)</f>
        <v>1572.69683475513</v>
      </c>
      <c r="C3">
        <f>SUMIF('ZIP parts'!$B$2:$B$63,A3,'ZIP parts'!$F$2:$F$63)</f>
        <v>1533.38050854927</v>
      </c>
    </row>
    <row r="4">
      <c r="A4" t="inlineStr">
        <is>
          <t>78070</t>
        </is>
      </c>
      <c r="B4">
        <f>SUMIF('ZIP parts'!$B$2:$B$63,A4,'ZIP parts'!$E$2:$E$63)</f>
        <v>1188.12580686569</v>
      </c>
      <c r="C4">
        <f>SUMIF('ZIP parts'!$B$2:$B$63,A4,'ZIP parts'!$F$2:$F$63)</f>
        <v>696.144959471042</v>
      </c>
    </row>
    <row r="5">
      <c r="A5" t="inlineStr">
        <is>
          <t>78133</t>
        </is>
      </c>
      <c r="B5">
        <f>SUMIF('ZIP parts'!$B$2:$B$63,A5,'ZIP parts'!$E$2:$E$63)</f>
        <v>1175.61317993889</v>
      </c>
      <c r="C5">
        <f>SUMIF('ZIP parts'!$B$2:$B$63,A5,'ZIP parts'!$F$2:$F$63)</f>
        <v>978.025124916397</v>
      </c>
    </row>
    <row r="6">
      <c r="A6" t="inlineStr">
        <is>
          <t>78163</t>
        </is>
      </c>
      <c r="B6">
        <f>SUMIF('ZIP parts'!$B$2:$B$63,A6,'ZIP parts'!$E$2:$E$63)</f>
        <v>454.981695261574</v>
      </c>
      <c r="C6">
        <f>SUMIF('ZIP parts'!$B$2:$B$63,A6,'ZIP parts'!$F$2:$F$63)</f>
        <v>329.91739592739</v>
      </c>
    </row>
    <row r="7">
      <c r="A7" t="inlineStr">
        <is>
          <t>78623</t>
        </is>
      </c>
      <c r="B7">
        <f>SUMIF('ZIP parts'!$B$2:$B$63,A7,'ZIP parts'!$E$2:$E$63)</f>
        <v>147.976716713715</v>
      </c>
      <c r="C7">
        <f>SUMIF('ZIP parts'!$B$2:$B$63,A7,'ZIP parts'!$F$2:$F$63)</f>
        <v>94.4031700867042</v>
      </c>
    </row>
    <row r="8">
      <c r="A8" t="inlineStr">
        <is>
          <t>78266</t>
        </is>
      </c>
      <c r="B8">
        <f>SUMIF('ZIP parts'!$B$2:$B$63,A8,'ZIP parts'!$E$2:$E$63)</f>
        <v>100.02609840126</v>
      </c>
      <c r="C8">
        <f>SUMIF('ZIP parts'!$B$2:$B$63,A8,'ZIP parts'!$F$2:$F$63)</f>
        <v>100.02609840126</v>
      </c>
    </row>
    <row r="9">
      <c r="A9" t="inlineStr">
        <is>
          <t>78154</t>
        </is>
      </c>
      <c r="B9">
        <f>SUMIF('ZIP parts'!$B$2:$B$63,A9,'ZIP parts'!$E$2:$E$63)</f>
        <v>84.4170998775482</v>
      </c>
      <c r="C9">
        <f>SUMIF('ZIP parts'!$B$2:$B$63,A9,'ZIP parts'!$F$2:$F$63)</f>
        <v>84.4170998775482</v>
      </c>
    </row>
    <row r="10">
      <c r="A10" t="inlineStr">
        <is>
          <t>78666</t>
        </is>
      </c>
      <c r="B10">
        <f>SUMIF('ZIP parts'!$B$2:$B$63,A10,'ZIP parts'!$E$2:$E$63)</f>
        <v>62.2237196365357</v>
      </c>
      <c r="C10">
        <f>SUMIF('ZIP parts'!$B$2:$B$63,A10,'ZIP parts'!$F$2:$F$63)</f>
        <v>52.2658953164337</v>
      </c>
    </row>
    <row r="11">
      <c r="A11" t="inlineStr">
        <is>
          <t>78606</t>
        </is>
      </c>
      <c r="B11">
        <f>SUMIF('ZIP parts'!$B$2:$B$63,A11,'ZIP parts'!$E$2:$E$63)</f>
        <v>48.23299933815</v>
      </c>
      <c r="C11">
        <f>SUMIF('ZIP parts'!$B$2:$B$63,A11,'ZIP parts'!$F$2:$F$63)</f>
        <v>14.3059076036953</v>
      </c>
    </row>
    <row r="12">
      <c r="A12" t="inlineStr">
        <is>
          <t>78108</t>
        </is>
      </c>
      <c r="B12">
        <f>SUMIF('ZIP parts'!$B$2:$B$63,A12,'ZIP parts'!$E$2:$E$63)</f>
        <v>30.4458</v>
      </c>
      <c r="C12">
        <f>SUMIF('ZIP parts'!$B$2:$B$63,A12,'ZIP parts'!$F$2:$F$63)</f>
        <v>30.4458</v>
      </c>
    </row>
    <row r="13">
      <c r="A13" t="inlineStr">
        <is>
          <t>78006</t>
        </is>
      </c>
      <c r="B13">
        <f>SUMIF('ZIP parts'!$B$2:$B$63,A13,'ZIP parts'!$E$2:$E$63)</f>
        <v>19.6480905303955</v>
      </c>
      <c r="C13">
        <f>SUMIF('ZIP parts'!$B$2:$B$63,A13,'ZIP parts'!$F$2:$F$63)</f>
        <v>9.58040894262085</v>
      </c>
    </row>
    <row r="14">
      <c r="A14" t="inlineStr">
        <is>
          <t>78015</t>
        </is>
      </c>
      <c r="B14">
        <f>SUMIF('ZIP parts'!$B$2:$B$63,A14,'ZIP parts'!$E$2:$E$63)</f>
        <v>15.3521904144287</v>
      </c>
      <c r="C14">
        <f>SUMIF('ZIP parts'!$B$2:$B$63,A14,'ZIP parts'!$F$2:$F$63)</f>
        <v>7.48572804607544</v>
      </c>
    </row>
    <row r="15">
      <c r="A15" t="inlineStr">
        <is>
          <t>78676</t>
        </is>
      </c>
      <c r="B15">
        <f>SUMIF('ZIP parts'!$B$2:$B$63,A15,'ZIP parts'!$E$2:$E$63)</f>
        <v>8.97939987678528</v>
      </c>
      <c r="C15">
        <f>SUMIF('ZIP parts'!$B$2:$B$63,A15,'ZIP parts'!$F$2:$F$63)</f>
        <v>2.66329000345451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3"/>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6" t="inlineStr">
        <is>
          <t>Tract</t>
        </is>
      </c>
      <c r="B1" s="16" t="inlineStr">
        <is>
          <t>ZIP area</t>
        </is>
      </c>
      <c r="C1" s="16" t="inlineStr">
        <is>
          <t>Share of the tract's land in the ZIP area</t>
        </is>
      </c>
      <c r="D1" s="16" t="inlineStr">
        <is>
          <t>Tract eligible (from Call sheet)</t>
        </is>
      </c>
      <c r="E1" s="16" t="inlineStr">
        <is>
          <t>Eligible in this part</t>
        </is>
      </c>
      <c r="F1" s="16" t="inlineStr">
        <is>
          <t>Reach share of the plan</t>
        </is>
      </c>
    </row>
    <row r="2">
      <c r="A2" t="inlineStr">
        <is>
          <t>48091310706</t>
        </is>
      </c>
      <c r="B2" t="inlineStr">
        <is>
          <t>78006</t>
        </is>
      </c>
      <c r="C2" t="n">
        <v>0.08690000000000001</v>
      </c>
      <c r="D2">
        <f>INDEX('Call sheet'!$AE$2:$AE$34,MATCH(A2,'Call sheet'!$A$2:$A$34,0))</f>
        <v>226.100006103516</v>
      </c>
      <c r="E2">
        <f>C2*D2</f>
        <v>19.6480905303955</v>
      </c>
      <c r="F2">
        <f>INDEX('Call sheet'!$AG$2:$AG$34,MATCH(A2,'Call sheet'!$A$2:$A$34,0))*E2</f>
        <v>9.58040894262085</v>
      </c>
    </row>
    <row r="3">
      <c r="A3" t="inlineStr">
        <is>
          <t>48091310706</t>
        </is>
      </c>
      <c r="B3" t="inlineStr">
        <is>
          <t>78015</t>
        </is>
      </c>
      <c r="C3" t="n">
        <v>0.0679</v>
      </c>
      <c r="D3">
        <f>INDEX('Call sheet'!$AE$2:$AE$34,MATCH(A3,'Call sheet'!$A$2:$A$34,0))</f>
        <v>226.100006103516</v>
      </c>
      <c r="E3">
        <f>C3*D3</f>
        <v>15.3521904144287</v>
      </c>
      <c r="F3">
        <f>INDEX('Call sheet'!$AG$2:$AG$34,MATCH(A3,'Call sheet'!$A$2:$A$34,0))*E3</f>
        <v>7.48572804607544</v>
      </c>
    </row>
    <row r="4">
      <c r="A4" t="inlineStr">
        <is>
          <t>48091310603</t>
        </is>
      </c>
      <c r="B4" t="inlineStr">
        <is>
          <t>78070</t>
        </is>
      </c>
      <c r="C4" t="n">
        <v>0.4059</v>
      </c>
      <c r="D4">
        <f>INDEX('Call sheet'!$AE$2:$AE$34,MATCH(A4,'Call sheet'!$A$2:$A$34,0))</f>
        <v>277.999996185303</v>
      </c>
      <c r="E4">
        <f>C4*D4</f>
        <v>112.840198451614</v>
      </c>
      <c r="F4">
        <f>INDEX('Call sheet'!$AG$2:$AG$34,MATCH(A4,'Call sheet'!$A$2:$A$34,0))*E4</f>
        <v>33.4684028607488</v>
      </c>
    </row>
    <row r="5">
      <c r="A5" t="inlineStr">
        <is>
          <t>48091310608</t>
        </is>
      </c>
      <c r="B5" t="inlineStr">
        <is>
          <t>78070</t>
        </is>
      </c>
      <c r="C5" t="n">
        <v>0.1428</v>
      </c>
      <c r="D5">
        <f>INDEX('Call sheet'!$AE$2:$AE$34,MATCH(A5,'Call sheet'!$A$2:$A$34,0))</f>
        <v>277.199996948242</v>
      </c>
      <c r="E5">
        <f>C5*D5</f>
        <v>39.584159564209</v>
      </c>
      <c r="F5">
        <f>INDEX('Call sheet'!$AG$2:$AG$34,MATCH(A5,'Call sheet'!$A$2:$A$34,0))*E5</f>
        <v>32.2571316288739</v>
      </c>
    </row>
    <row r="6">
      <c r="A6" t="inlineStr">
        <is>
          <t>48091310609</t>
        </is>
      </c>
      <c r="B6" t="inlineStr">
        <is>
          <t>78070</t>
        </is>
      </c>
      <c r="C6" t="n">
        <v>0.6461</v>
      </c>
      <c r="D6">
        <f>INDEX('Call sheet'!$AE$2:$AE$34,MATCH(A6,'Call sheet'!$A$2:$A$34,0))</f>
        <v>268.900005340576</v>
      </c>
      <c r="E6">
        <f>C6*D6</f>
        <v>173.736293450546</v>
      </c>
      <c r="F6">
        <f>INDEX('Call sheet'!$AG$2:$AG$34,MATCH(A6,'Call sheet'!$A$2:$A$34,0))*E6</f>
        <v>100.871291977387</v>
      </c>
    </row>
    <row r="7">
      <c r="A7" t="inlineStr">
        <is>
          <t>48091310610</t>
        </is>
      </c>
      <c r="B7" t="inlineStr">
        <is>
          <t>78070</t>
        </is>
      </c>
      <c r="C7" t="n">
        <v>1</v>
      </c>
      <c r="D7">
        <f>INDEX('Call sheet'!$AE$2:$AE$34,MATCH(A7,'Call sheet'!$A$2:$A$34,0))</f>
        <v>317.299999237061</v>
      </c>
      <c r="E7">
        <f>C7*D7</f>
        <v>317.299999237061</v>
      </c>
      <c r="F7">
        <f>INDEX('Call sheet'!$AG$2:$AG$34,MATCH(A7,'Call sheet'!$A$2:$A$34,0))*E7</f>
        <v>146.878169646835</v>
      </c>
    </row>
    <row r="8">
      <c r="A8" t="inlineStr">
        <is>
          <t>48091310702</t>
        </is>
      </c>
      <c r="B8" t="inlineStr">
        <is>
          <t>78070</t>
        </is>
      </c>
      <c r="C8" t="n">
        <v>1</v>
      </c>
      <c r="D8">
        <f>INDEX('Call sheet'!$AE$2:$AE$34,MATCH(A8,'Call sheet'!$A$2:$A$34,0))</f>
        <v>373.100006103516</v>
      </c>
      <c r="E8">
        <f>C8*D8</f>
        <v>373.100006103516</v>
      </c>
      <c r="F8">
        <f>INDEX('Call sheet'!$AG$2:$AG$34,MATCH(A8,'Call sheet'!$A$2:$A$34,0))*E8</f>
        <v>240.239093930054</v>
      </c>
    </row>
    <row r="9">
      <c r="A9" t="inlineStr">
        <is>
          <t>48091310703</t>
        </is>
      </c>
      <c r="B9" t="inlineStr">
        <is>
          <t>78070</t>
        </is>
      </c>
      <c r="C9" t="n">
        <v>0.5621</v>
      </c>
      <c r="D9">
        <f>INDEX('Call sheet'!$AE$2:$AE$34,MATCH(A9,'Call sheet'!$A$2:$A$34,0))</f>
        <v>293.5</v>
      </c>
      <c r="E9">
        <f>C9*D9</f>
        <v>164.97635</v>
      </c>
      <c r="F9">
        <f>INDEX('Call sheet'!$AG$2:$AG$34,MATCH(A9,'Call sheet'!$A$2:$A$34,0))*E9</f>
        <v>137.705759345</v>
      </c>
    </row>
    <row r="10">
      <c r="A10" t="inlineStr">
        <is>
          <t>48091310705</t>
        </is>
      </c>
      <c r="B10" t="inlineStr">
        <is>
          <t>78070</t>
        </is>
      </c>
      <c r="C10" t="n">
        <v>0.0366</v>
      </c>
      <c r="D10">
        <f>INDEX('Call sheet'!$AE$2:$AE$34,MATCH(A10,'Call sheet'!$A$2:$A$34,0))</f>
        <v>92.2999992370606</v>
      </c>
      <c r="E10">
        <f>C10*D10</f>
        <v>3.37817997207642</v>
      </c>
      <c r="F10">
        <f>INDEX('Call sheet'!$AG$2:$AG$34,MATCH(A10,'Call sheet'!$A$2:$A$34,0))*E10</f>
        <v>3.15961172788307</v>
      </c>
    </row>
    <row r="11">
      <c r="A11" t="inlineStr">
        <is>
          <t>48091310706</t>
        </is>
      </c>
      <c r="B11" t="inlineStr">
        <is>
          <t>78070</t>
        </is>
      </c>
      <c r="C11" t="n">
        <v>0.0142</v>
      </c>
      <c r="D11">
        <f>INDEX('Call sheet'!$AE$2:$AE$34,MATCH(A11,'Call sheet'!$A$2:$A$34,0))</f>
        <v>226.100006103516</v>
      </c>
      <c r="E11">
        <f>C11*D11</f>
        <v>3.21062008666992</v>
      </c>
      <c r="F11">
        <f>INDEX('Call sheet'!$AG$2:$AG$34,MATCH(A11,'Call sheet'!$A$2:$A$34,0))*E11</f>
        <v>1.56549835426025</v>
      </c>
    </row>
    <row r="12">
      <c r="A12" t="inlineStr">
        <is>
          <t>48091310804</t>
        </is>
      </c>
      <c r="B12" t="inlineStr">
        <is>
          <t>78108</t>
        </is>
      </c>
      <c r="C12" t="n">
        <v>0.0659</v>
      </c>
      <c r="D12">
        <f>INDEX('Call sheet'!$AE$2:$AE$34,MATCH(A12,'Call sheet'!$A$2:$A$34,0))</f>
        <v>462</v>
      </c>
      <c r="E12">
        <f>C12*D12</f>
        <v>30.4458</v>
      </c>
      <c r="F12">
        <f>INDEX('Call sheet'!$AG$2:$AG$34,MATCH(A12,'Call sheet'!$A$2:$A$34,0))*E12</f>
        <v>30.4458</v>
      </c>
    </row>
    <row r="13">
      <c r="A13" t="inlineStr">
        <is>
          <t>48091310100</t>
        </is>
      </c>
      <c r="B13" t="inlineStr">
        <is>
          <t>78130</t>
        </is>
      </c>
      <c r="C13" t="n">
        <v>1</v>
      </c>
      <c r="D13">
        <f>INDEX('Call sheet'!$AE$2:$AE$34,MATCH(A13,'Call sheet'!$A$2:$A$34,0))</f>
        <v>222.400001525879</v>
      </c>
      <c r="E13">
        <f>C13*D13</f>
        <v>222.400001525879</v>
      </c>
      <c r="F13">
        <f>INDEX('Call sheet'!$AG$2:$AG$34,MATCH(A13,'Call sheet'!$A$2:$A$34,0))*E13</f>
        <v>222.400001525879</v>
      </c>
    </row>
    <row r="14">
      <c r="A14" t="inlineStr">
        <is>
          <t>48091310200</t>
        </is>
      </c>
      <c r="B14" t="inlineStr">
        <is>
          <t>78130</t>
        </is>
      </c>
      <c r="C14" t="n">
        <v>1</v>
      </c>
      <c r="D14">
        <f>INDEX('Call sheet'!$AE$2:$AE$34,MATCH(A14,'Call sheet'!$A$2:$A$34,0))</f>
        <v>486.099994659424</v>
      </c>
      <c r="E14">
        <f>C14*D14</f>
        <v>486.099994659424</v>
      </c>
      <c r="F14">
        <f>INDEX('Call sheet'!$AG$2:$AG$34,MATCH(A14,'Call sheet'!$A$2:$A$34,0))*E14</f>
        <v>486.099994659424</v>
      </c>
    </row>
    <row r="15">
      <c r="A15" t="inlineStr">
        <is>
          <t>48091310301</t>
        </is>
      </c>
      <c r="B15" t="inlineStr">
        <is>
          <t>78130</t>
        </is>
      </c>
      <c r="C15" t="n">
        <v>1</v>
      </c>
      <c r="D15">
        <f>INDEX('Call sheet'!$AE$2:$AE$34,MATCH(A15,'Call sheet'!$A$2:$A$34,0))</f>
        <v>87.6000003814697</v>
      </c>
      <c r="E15">
        <f>C15*D15</f>
        <v>87.6000003814697</v>
      </c>
      <c r="F15">
        <f>INDEX('Call sheet'!$AG$2:$AG$34,MATCH(A15,'Call sheet'!$A$2:$A$34,0))*E15</f>
        <v>87.6000003814697</v>
      </c>
    </row>
    <row r="16">
      <c r="A16" t="inlineStr">
        <is>
          <t>48091310302</t>
        </is>
      </c>
      <c r="B16" t="inlineStr">
        <is>
          <t>78130</t>
        </is>
      </c>
      <c r="C16" t="n">
        <v>1</v>
      </c>
      <c r="D16">
        <f>INDEX('Call sheet'!$AE$2:$AE$34,MATCH(A16,'Call sheet'!$A$2:$A$34,0))</f>
        <v>364.199996948242</v>
      </c>
      <c r="E16">
        <f>C16*D16</f>
        <v>364.199996948242</v>
      </c>
      <c r="F16">
        <f>INDEX('Call sheet'!$AG$2:$AG$34,MATCH(A16,'Call sheet'!$A$2:$A$34,0))*E16</f>
        <v>364.199996948242</v>
      </c>
    </row>
    <row r="17">
      <c r="A17" t="inlineStr">
        <is>
          <t>48091310401</t>
        </is>
      </c>
      <c r="B17" t="inlineStr">
        <is>
          <t>78130</t>
        </is>
      </c>
      <c r="C17" t="n">
        <v>0.6373</v>
      </c>
      <c r="D17">
        <f>INDEX('Call sheet'!$AE$2:$AE$34,MATCH(A17,'Call sheet'!$A$2:$A$34,0))</f>
        <v>609.600006103516</v>
      </c>
      <c r="E17">
        <f>C17*D17</f>
        <v>388.498083889771</v>
      </c>
      <c r="F17">
        <f>INDEX('Call sheet'!$AG$2:$AG$34,MATCH(A17,'Call sheet'!$A$2:$A$34,0))*E17</f>
        <v>388.498083889771</v>
      </c>
    </row>
    <row r="18">
      <c r="A18" t="inlineStr">
        <is>
          <t>48091310404</t>
        </is>
      </c>
      <c r="B18" t="inlineStr">
        <is>
          <t>78130</t>
        </is>
      </c>
      <c r="C18" t="n">
        <v>1</v>
      </c>
      <c r="D18">
        <f>INDEX('Call sheet'!$AE$2:$AE$34,MATCH(A18,'Call sheet'!$A$2:$A$34,0))</f>
        <v>381.900009155273</v>
      </c>
      <c r="E18">
        <f>C18*D18</f>
        <v>381.900009155273</v>
      </c>
      <c r="F18">
        <f>INDEX('Call sheet'!$AG$2:$AG$34,MATCH(A18,'Call sheet'!$A$2:$A$34,0))*E18</f>
        <v>381.900009155273</v>
      </c>
    </row>
    <row r="19">
      <c r="A19" t="inlineStr">
        <is>
          <t>48091310405</t>
        </is>
      </c>
      <c r="B19" t="inlineStr">
        <is>
          <t>78130</t>
        </is>
      </c>
      <c r="C19" t="n">
        <v>1</v>
      </c>
      <c r="D19">
        <f>INDEX('Call sheet'!$AE$2:$AE$34,MATCH(A19,'Call sheet'!$A$2:$A$34,0))</f>
        <v>140.700000762939</v>
      </c>
      <c r="E19">
        <f>C19*D19</f>
        <v>140.700000762939</v>
      </c>
      <c r="F19">
        <f>INDEX('Call sheet'!$AG$2:$AG$34,MATCH(A19,'Call sheet'!$A$2:$A$34,0))*E19</f>
        <v>140.700000762939</v>
      </c>
    </row>
    <row r="20">
      <c r="A20" t="inlineStr">
        <is>
          <t>48091310406</t>
        </is>
      </c>
      <c r="B20" t="inlineStr">
        <is>
          <t>78130</t>
        </is>
      </c>
      <c r="C20" t="n">
        <v>0.681</v>
      </c>
      <c r="D20">
        <f>INDEX('Call sheet'!$AE$2:$AE$34,MATCH(A20,'Call sheet'!$A$2:$A$34,0))</f>
        <v>432</v>
      </c>
      <c r="E20">
        <f>C20*D20</f>
        <v>294.192</v>
      </c>
      <c r="F20">
        <f>INDEX('Call sheet'!$AG$2:$AG$34,MATCH(A20,'Call sheet'!$A$2:$A$34,0))*E20</f>
        <v>294.192</v>
      </c>
    </row>
    <row r="21">
      <c r="A21" t="inlineStr">
        <is>
          <t>48091310501</t>
        </is>
      </c>
      <c r="B21" t="inlineStr">
        <is>
          <t>78130</t>
        </is>
      </c>
      <c r="C21" t="n">
        <v>1</v>
      </c>
      <c r="D21">
        <f>INDEX('Call sheet'!$AE$2:$AE$34,MATCH(A21,'Call sheet'!$A$2:$A$34,0))</f>
        <v>393.200012207031</v>
      </c>
      <c r="E21">
        <f>C21*D21</f>
        <v>393.200012207031</v>
      </c>
      <c r="F21">
        <f>INDEX('Call sheet'!$AG$2:$AG$34,MATCH(A21,'Call sheet'!$A$2:$A$34,0))*E21</f>
        <v>393.200012207031</v>
      </c>
    </row>
    <row r="22">
      <c r="A22" t="inlineStr">
        <is>
          <t>48091310502</t>
        </is>
      </c>
      <c r="B22" t="inlineStr">
        <is>
          <t>78130</t>
        </is>
      </c>
      <c r="C22" t="n">
        <v>1</v>
      </c>
      <c r="D22">
        <f>INDEX('Call sheet'!$AE$2:$AE$34,MATCH(A22,'Call sheet'!$A$2:$A$34,0))</f>
        <v>1028.39999389648</v>
      </c>
      <c r="E22">
        <f>C22*D22</f>
        <v>1028.39999389648</v>
      </c>
      <c r="F22">
        <f>INDEX('Call sheet'!$AG$2:$AG$34,MATCH(A22,'Call sheet'!$A$2:$A$34,0))*E22</f>
        <v>1028.39999389648</v>
      </c>
    </row>
    <row r="23">
      <c r="A23" t="inlineStr">
        <is>
          <t>48091310503</t>
        </is>
      </c>
      <c r="B23" t="inlineStr">
        <is>
          <t>78130</t>
        </is>
      </c>
      <c r="C23" t="n">
        <v>1</v>
      </c>
      <c r="D23">
        <f>INDEX('Call sheet'!$AE$2:$AE$34,MATCH(A23,'Call sheet'!$A$2:$A$34,0))</f>
        <v>584.299987792969</v>
      </c>
      <c r="E23">
        <f>C23*D23</f>
        <v>584.299987792969</v>
      </c>
      <c r="F23">
        <f>INDEX('Call sheet'!$AG$2:$AG$34,MATCH(A23,'Call sheet'!$A$2:$A$34,0))*E23</f>
        <v>584.299987792969</v>
      </c>
    </row>
    <row r="24">
      <c r="A24" t="inlineStr">
        <is>
          <t>48091310904</t>
        </is>
      </c>
      <c r="B24" t="inlineStr">
        <is>
          <t>78130</t>
        </is>
      </c>
      <c r="C24" t="n">
        <v>0.9282</v>
      </c>
      <c r="D24">
        <f>INDEX('Call sheet'!$AE$2:$AE$34,MATCH(A24,'Call sheet'!$A$2:$A$34,0))</f>
        <v>1140.99998474121</v>
      </c>
      <c r="E24">
        <f>C24*D24</f>
        <v>1059.07618583679</v>
      </c>
      <c r="F24">
        <f>INDEX('Call sheet'!$AG$2:$AG$34,MATCH(A24,'Call sheet'!$A$2:$A$34,0))*E24</f>
        <v>1059.07618583679</v>
      </c>
    </row>
    <row r="25">
      <c r="A25" t="inlineStr">
        <is>
          <t>48091310401</t>
        </is>
      </c>
      <c r="B25" t="inlineStr">
        <is>
          <t>78132</t>
        </is>
      </c>
      <c r="C25" t="n">
        <v>0.3627</v>
      </c>
      <c r="D25">
        <f>INDEX('Call sheet'!$AE$2:$AE$34,MATCH(A25,'Call sheet'!$A$2:$A$34,0))</f>
        <v>609.600006103516</v>
      </c>
      <c r="E25">
        <f>C25*D25</f>
        <v>221.101922213745</v>
      </c>
      <c r="F25">
        <f>INDEX('Call sheet'!$AG$2:$AG$34,MATCH(A25,'Call sheet'!$A$2:$A$34,0))*E25</f>
        <v>221.101922213745</v>
      </c>
    </row>
    <row r="26">
      <c r="A26" t="inlineStr">
        <is>
          <t>48091310406</t>
        </is>
      </c>
      <c r="B26" t="inlineStr">
        <is>
          <t>78132</t>
        </is>
      </c>
      <c r="C26" t="n">
        <v>0.319</v>
      </c>
      <c r="D26">
        <f>INDEX('Call sheet'!$AE$2:$AE$34,MATCH(A26,'Call sheet'!$A$2:$A$34,0))</f>
        <v>432</v>
      </c>
      <c r="E26">
        <f>C26*D26</f>
        <v>137.808</v>
      </c>
      <c r="F26">
        <f>INDEX('Call sheet'!$AG$2:$AG$34,MATCH(A26,'Call sheet'!$A$2:$A$34,0))*E26</f>
        <v>137.808</v>
      </c>
    </row>
    <row r="27">
      <c r="A27" t="inlineStr">
        <is>
          <t>48091310611</t>
        </is>
      </c>
      <c r="B27" t="inlineStr">
        <is>
          <t>78132</t>
        </is>
      </c>
      <c r="C27" t="n">
        <v>0.1489</v>
      </c>
      <c r="D27">
        <f>INDEX('Call sheet'!$AE$2:$AE$34,MATCH(A27,'Call sheet'!$A$2:$A$34,0))</f>
        <v>308.599990844727</v>
      </c>
      <c r="E27">
        <f>C27*D27</f>
        <v>45.9505386367798</v>
      </c>
      <c r="F27">
        <f>INDEX('Call sheet'!$AG$2:$AG$34,MATCH(A27,'Call sheet'!$A$2:$A$34,0))*E27</f>
        <v>43.1016052412994</v>
      </c>
    </row>
    <row r="28">
      <c r="A28" t="inlineStr">
        <is>
          <t>48091310614</t>
        </is>
      </c>
      <c r="B28" t="inlineStr">
        <is>
          <t>78132</t>
        </is>
      </c>
      <c r="C28" t="n">
        <v>0.5551</v>
      </c>
      <c r="D28">
        <f>INDEX('Call sheet'!$AE$2:$AE$34,MATCH(A28,'Call sheet'!$A$2:$A$34,0))</f>
        <v>187.000003814697</v>
      </c>
      <c r="E28">
        <f>C28*D28</f>
        <v>103.803702117538</v>
      </c>
      <c r="F28">
        <f>INDEX('Call sheet'!$AG$2:$AG$34,MATCH(A28,'Call sheet'!$A$2:$A$34,0))*E28</f>
        <v>103.803702117538</v>
      </c>
    </row>
    <row r="29">
      <c r="A29" t="inlineStr">
        <is>
          <t>48091310707</t>
        </is>
      </c>
      <c r="B29" t="inlineStr">
        <is>
          <t>78132</t>
        </is>
      </c>
      <c r="C29" t="n">
        <v>1</v>
      </c>
      <c r="D29">
        <f>INDEX('Call sheet'!$AE$2:$AE$34,MATCH(A29,'Call sheet'!$A$2:$A$34,0))</f>
        <v>125.799999237061</v>
      </c>
      <c r="E29">
        <f>C29*D29</f>
        <v>125.799999237061</v>
      </c>
      <c r="F29">
        <f>INDEX('Call sheet'!$AG$2:$AG$34,MATCH(A29,'Call sheet'!$A$2:$A$34,0))*E29</f>
        <v>125.799999237061</v>
      </c>
    </row>
    <row r="30">
      <c r="A30" t="inlineStr">
        <is>
          <t>48091310708</t>
        </is>
      </c>
      <c r="B30" t="inlineStr">
        <is>
          <t>78132</t>
        </is>
      </c>
      <c r="C30" t="n">
        <v>0.0226</v>
      </c>
      <c r="D30">
        <f>INDEX('Call sheet'!$AE$2:$AE$34,MATCH(A30,'Call sheet'!$A$2:$A$34,0))</f>
        <v>50.5000009536743</v>
      </c>
      <c r="E30">
        <f>C30*D30</f>
        <v>1.14130002155304</v>
      </c>
      <c r="F30">
        <f>INDEX('Call sheet'!$AG$2:$AG$34,MATCH(A30,'Call sheet'!$A$2:$A$34,0))*E30</f>
        <v>1.09987083077066</v>
      </c>
    </row>
    <row r="31">
      <c r="A31" t="inlineStr">
        <is>
          <t>48091310801</t>
        </is>
      </c>
      <c r="B31" t="inlineStr">
        <is>
          <t>78132</t>
        </is>
      </c>
      <c r="C31" t="n">
        <v>0.1367</v>
      </c>
      <c r="D31">
        <f>INDEX('Call sheet'!$AE$2:$AE$34,MATCH(A31,'Call sheet'!$A$2:$A$34,0))</f>
        <v>87.3999977111816</v>
      </c>
      <c r="E31">
        <f>C31*D31</f>
        <v>11.9475796871185</v>
      </c>
      <c r="F31">
        <f>INDEX('Call sheet'!$AG$2:$AG$34,MATCH(A31,'Call sheet'!$A$2:$A$34,0))*E31</f>
        <v>11.9475796871185</v>
      </c>
    </row>
    <row r="32">
      <c r="A32" t="inlineStr">
        <is>
          <t>48091310803</t>
        </is>
      </c>
      <c r="B32" t="inlineStr">
        <is>
          <t>78132</t>
        </is>
      </c>
      <c r="C32" t="n">
        <v>0.8704</v>
      </c>
      <c r="D32">
        <f>INDEX('Call sheet'!$AE$2:$AE$34,MATCH(A32,'Call sheet'!$A$2:$A$34,0))</f>
        <v>106.000001907349</v>
      </c>
      <c r="E32">
        <f>C32*D32</f>
        <v>92.2624016601563</v>
      </c>
      <c r="F32">
        <f>INDEX('Call sheet'!$AG$2:$AG$34,MATCH(A32,'Call sheet'!$A$2:$A$34,0))*E32</f>
        <v>92.2624016601563</v>
      </c>
    </row>
    <row r="33">
      <c r="A33" t="inlineStr">
        <is>
          <t>48091310804</t>
        </is>
      </c>
      <c r="B33" t="inlineStr">
        <is>
          <t>78132</t>
        </is>
      </c>
      <c r="C33" t="n">
        <v>0.7272999999999999</v>
      </c>
      <c r="D33">
        <f>INDEX('Call sheet'!$AE$2:$AE$34,MATCH(A33,'Call sheet'!$A$2:$A$34,0))</f>
        <v>462</v>
      </c>
      <c r="E33">
        <f>C33*D33</f>
        <v>336.0126</v>
      </c>
      <c r="F33">
        <f>INDEX('Call sheet'!$AG$2:$AG$34,MATCH(A33,'Call sheet'!$A$2:$A$34,0))*E33</f>
        <v>336.0126</v>
      </c>
    </row>
    <row r="34">
      <c r="A34" t="inlineStr">
        <is>
          <t>48091310901</t>
        </is>
      </c>
      <c r="B34" t="inlineStr">
        <is>
          <t>78132</t>
        </is>
      </c>
      <c r="C34" t="n">
        <v>0.9837</v>
      </c>
      <c r="D34">
        <f>INDEX('Call sheet'!$AE$2:$AE$34,MATCH(A34,'Call sheet'!$A$2:$A$34,0))</f>
        <v>237.099998474121</v>
      </c>
      <c r="E34">
        <f>C34*D34</f>
        <v>233.235268498993</v>
      </c>
      <c r="F34">
        <f>INDEX('Call sheet'!$AG$2:$AG$34,MATCH(A34,'Call sheet'!$A$2:$A$34,0))*E34</f>
        <v>233.235268498993</v>
      </c>
    </row>
    <row r="35">
      <c r="A35" t="inlineStr">
        <is>
          <t>48091310903</t>
        </is>
      </c>
      <c r="B35" t="inlineStr">
        <is>
          <t>78132</t>
        </is>
      </c>
      <c r="C35" t="n">
        <v>0.7998</v>
      </c>
      <c r="D35">
        <f>INDEX('Call sheet'!$AE$2:$AE$34,MATCH(A35,'Call sheet'!$A$2:$A$34,0))</f>
        <v>143.400001525879</v>
      </c>
      <c r="E35">
        <f>C35*D35</f>
        <v>114.691321220398</v>
      </c>
      <c r="F35">
        <f>INDEX('Call sheet'!$AG$2:$AG$34,MATCH(A35,'Call sheet'!$A$2:$A$34,0))*E35</f>
        <v>78.2653576007995</v>
      </c>
    </row>
    <row r="36">
      <c r="A36" t="inlineStr">
        <is>
          <t>48091310904</t>
        </is>
      </c>
      <c r="B36" t="inlineStr">
        <is>
          <t>78132</t>
        </is>
      </c>
      <c r="C36" t="n">
        <v>0.0542</v>
      </c>
      <c r="D36">
        <f>INDEX('Call sheet'!$AE$2:$AE$34,MATCH(A36,'Call sheet'!$A$2:$A$34,0))</f>
        <v>1140.99998474121</v>
      </c>
      <c r="E36">
        <f>C36*D36</f>
        <v>61.8421991729736</v>
      </c>
      <c r="F36">
        <f>INDEX('Call sheet'!$AG$2:$AG$34,MATCH(A36,'Call sheet'!$A$2:$A$34,0))*E36</f>
        <v>61.8421991729736</v>
      </c>
    </row>
    <row r="37">
      <c r="A37" t="inlineStr">
        <is>
          <t>48091310905</t>
        </is>
      </c>
      <c r="B37" t="inlineStr">
        <is>
          <t>78132</t>
        </is>
      </c>
      <c r="C37" t="n">
        <v>1</v>
      </c>
      <c r="D37">
        <f>INDEX('Call sheet'!$AE$2:$AE$34,MATCH(A37,'Call sheet'!$A$2:$A$34,0))</f>
        <v>87.1000022888184</v>
      </c>
      <c r="E37">
        <f>C37*D37</f>
        <v>87.1000022888184</v>
      </c>
      <c r="F37">
        <f>INDEX('Call sheet'!$AG$2:$AG$34,MATCH(A37,'Call sheet'!$A$2:$A$34,0))*E37</f>
        <v>87.1000022888184</v>
      </c>
    </row>
    <row r="38">
      <c r="A38" t="inlineStr">
        <is>
          <t>48091310603</t>
        </is>
      </c>
      <c r="B38" t="inlineStr">
        <is>
          <t>78133</t>
        </is>
      </c>
      <c r="C38" t="n">
        <v>0.1393</v>
      </c>
      <c r="D38">
        <f>INDEX('Call sheet'!$AE$2:$AE$34,MATCH(A38,'Call sheet'!$A$2:$A$34,0))</f>
        <v>277.999996185303</v>
      </c>
      <c r="E38">
        <f>C38*D38</f>
        <v>38.7253994686127</v>
      </c>
      <c r="F38">
        <f>INDEX('Call sheet'!$AG$2:$AG$34,MATCH(A38,'Call sheet'!$A$2:$A$34,0))*E38</f>
        <v>11.4859534823905</v>
      </c>
    </row>
    <row r="39">
      <c r="A39" t="inlineStr">
        <is>
          <t>48091310604</t>
        </is>
      </c>
      <c r="B39" t="inlineStr">
        <is>
          <t>78133</t>
        </is>
      </c>
      <c r="C39" t="n">
        <v>1</v>
      </c>
      <c r="D39">
        <f>INDEX('Call sheet'!$AE$2:$AE$34,MATCH(A39,'Call sheet'!$A$2:$A$34,0))</f>
        <v>233.400001525879</v>
      </c>
      <c r="E39">
        <f>C39*D39</f>
        <v>233.400001525879</v>
      </c>
      <c r="F39">
        <f>INDEX('Call sheet'!$AG$2:$AG$34,MATCH(A39,'Call sheet'!$A$2:$A$34,0))*E39</f>
        <v>196.032661281586</v>
      </c>
    </row>
    <row r="40">
      <c r="A40" t="inlineStr">
        <is>
          <t>48091310608</t>
        </is>
      </c>
      <c r="B40" t="inlineStr">
        <is>
          <t>78133</t>
        </is>
      </c>
      <c r="C40" t="n">
        <v>0.8572</v>
      </c>
      <c r="D40">
        <f>INDEX('Call sheet'!$AE$2:$AE$34,MATCH(A40,'Call sheet'!$A$2:$A$34,0))</f>
        <v>277.199996948242</v>
      </c>
      <c r="E40">
        <f>C40*D40</f>
        <v>237.615837384033</v>
      </c>
      <c r="F40">
        <f>INDEX('Call sheet'!$AG$2:$AG$34,MATCH(A40,'Call sheet'!$A$2:$A$34,0))*E40</f>
        <v>193.633145884249</v>
      </c>
    </row>
    <row r="41">
      <c r="A41" t="inlineStr">
        <is>
          <t>48091310609</t>
        </is>
      </c>
      <c r="B41" t="inlineStr">
        <is>
          <t>78133</t>
        </is>
      </c>
      <c r="C41" t="n">
        <v>0.3539</v>
      </c>
      <c r="D41">
        <f>INDEX('Call sheet'!$AE$2:$AE$34,MATCH(A41,'Call sheet'!$A$2:$A$34,0))</f>
        <v>268.900005340576</v>
      </c>
      <c r="E41">
        <f>C41*D41</f>
        <v>95.1637118900299</v>
      </c>
      <c r="F41">
        <f>INDEX('Call sheet'!$AG$2:$AG$34,MATCH(A41,'Call sheet'!$A$2:$A$34,0))*E41</f>
        <v>55.2520511233514</v>
      </c>
    </row>
    <row r="42">
      <c r="A42" t="inlineStr">
        <is>
          <t>48091310611</t>
        </is>
      </c>
      <c r="B42" t="inlineStr">
        <is>
          <t>78133</t>
        </is>
      </c>
      <c r="C42" t="n">
        <v>0.552</v>
      </c>
      <c r="D42">
        <f>INDEX('Call sheet'!$AE$2:$AE$34,MATCH(A42,'Call sheet'!$A$2:$A$34,0))</f>
        <v>308.599990844727</v>
      </c>
      <c r="E42">
        <f>C42*D42</f>
        <v>170.347194946289</v>
      </c>
      <c r="F42">
        <f>INDEX('Call sheet'!$AG$2:$AG$34,MATCH(A42,'Call sheet'!$A$2:$A$34,0))*E42</f>
        <v>159.785668859619</v>
      </c>
    </row>
    <row r="43">
      <c r="A43" t="inlineStr">
        <is>
          <t>48091310612</t>
        </is>
      </c>
      <c r="B43" t="inlineStr">
        <is>
          <t>78133</t>
        </is>
      </c>
      <c r="C43" t="n">
        <v>1</v>
      </c>
      <c r="D43">
        <f>INDEX('Call sheet'!$AE$2:$AE$34,MATCH(A43,'Call sheet'!$A$2:$A$34,0))</f>
        <v>195.700004577637</v>
      </c>
      <c r="E43">
        <f>C43*D43</f>
        <v>195.700004577637</v>
      </c>
      <c r="F43">
        <f>INDEX('Call sheet'!$AG$2:$AG$34,MATCH(A43,'Call sheet'!$A$2:$A$34,0))*E43</f>
        <v>169.887173973846</v>
      </c>
    </row>
    <row r="44">
      <c r="A44" t="inlineStr">
        <is>
          <t>48091310613</t>
        </is>
      </c>
      <c r="B44" t="inlineStr">
        <is>
          <t>78133</t>
        </is>
      </c>
      <c r="C44" t="n">
        <v>1</v>
      </c>
      <c r="D44">
        <f>INDEX('Call sheet'!$AE$2:$AE$34,MATCH(A44,'Call sheet'!$A$2:$A$34,0))</f>
        <v>117.599998474121</v>
      </c>
      <c r="E44">
        <f>C44*D44</f>
        <v>117.599998474121</v>
      </c>
      <c r="F44">
        <f>INDEX('Call sheet'!$AG$2:$AG$34,MATCH(A44,'Call sheet'!$A$2:$A$34,0))*E44</f>
        <v>104.887438639069</v>
      </c>
    </row>
    <row r="45">
      <c r="A45" t="inlineStr">
        <is>
          <t>48091310614</t>
        </is>
      </c>
      <c r="B45" t="inlineStr">
        <is>
          <t>78133</t>
        </is>
      </c>
      <c r="C45" t="n">
        <v>0.4449</v>
      </c>
      <c r="D45">
        <f>INDEX('Call sheet'!$AE$2:$AE$34,MATCH(A45,'Call sheet'!$A$2:$A$34,0))</f>
        <v>187.000003814697</v>
      </c>
      <c r="E45">
        <f>C45*D45</f>
        <v>83.1963016971588</v>
      </c>
      <c r="F45">
        <f>INDEX('Call sheet'!$AG$2:$AG$34,MATCH(A45,'Call sheet'!$A$2:$A$34,0))*E45</f>
        <v>83.1963016971588</v>
      </c>
    </row>
    <row r="46">
      <c r="A46" t="inlineStr">
        <is>
          <t>48091310901</t>
        </is>
      </c>
      <c r="B46" t="inlineStr">
        <is>
          <t>78133</t>
        </is>
      </c>
      <c r="C46" t="n">
        <v>0.0163</v>
      </c>
      <c r="D46">
        <f>INDEX('Call sheet'!$AE$2:$AE$34,MATCH(A46,'Call sheet'!$A$2:$A$34,0))</f>
        <v>237.099998474121</v>
      </c>
      <c r="E46">
        <f>C46*D46</f>
        <v>3.86472997512817</v>
      </c>
      <c r="F46">
        <f>INDEX('Call sheet'!$AG$2:$AG$34,MATCH(A46,'Call sheet'!$A$2:$A$34,0))*E46</f>
        <v>3.86472997512817</v>
      </c>
    </row>
    <row r="47">
      <c r="A47" t="inlineStr">
        <is>
          <t>48091310801</t>
        </is>
      </c>
      <c r="B47" t="inlineStr">
        <is>
          <t>78154</t>
        </is>
      </c>
      <c r="C47" t="n">
        <v>0.0535</v>
      </c>
      <c r="D47">
        <f>INDEX('Call sheet'!$AE$2:$AE$34,MATCH(A47,'Call sheet'!$A$2:$A$34,0))</f>
        <v>87.3999977111816</v>
      </c>
      <c r="E47">
        <f>C47*D47</f>
        <v>4.67589987754822</v>
      </c>
      <c r="F47">
        <f>INDEX('Call sheet'!$AG$2:$AG$34,MATCH(A47,'Call sheet'!$A$2:$A$34,0))*E47</f>
        <v>4.67589987754822</v>
      </c>
    </row>
    <row r="48">
      <c r="A48" t="inlineStr">
        <is>
          <t>48091310804</t>
        </is>
      </c>
      <c r="B48" t="inlineStr">
        <is>
          <t>78154</t>
        </is>
      </c>
      <c r="C48" t="n">
        <v>0.1726</v>
      </c>
      <c r="D48">
        <f>INDEX('Call sheet'!$AE$2:$AE$34,MATCH(A48,'Call sheet'!$A$2:$A$34,0))</f>
        <v>462</v>
      </c>
      <c r="E48">
        <f>C48*D48</f>
        <v>79.7412</v>
      </c>
      <c r="F48">
        <f>INDEX('Call sheet'!$AG$2:$AG$34,MATCH(A48,'Call sheet'!$A$2:$A$34,0))*E48</f>
        <v>79.7412</v>
      </c>
    </row>
    <row r="49">
      <c r="A49" t="inlineStr">
        <is>
          <t>48091310703</t>
        </is>
      </c>
      <c r="B49" t="inlineStr">
        <is>
          <t>78163</t>
        </is>
      </c>
      <c r="C49" t="n">
        <v>0.4379</v>
      </c>
      <c r="D49">
        <f>INDEX('Call sheet'!$AE$2:$AE$34,MATCH(A49,'Call sheet'!$A$2:$A$34,0))</f>
        <v>293.5</v>
      </c>
      <c r="E49">
        <f>C49*D49</f>
        <v>128.52365</v>
      </c>
      <c r="F49">
        <f>INDEX('Call sheet'!$AG$2:$AG$34,MATCH(A49,'Call sheet'!$A$2:$A$34,0))*E49</f>
        <v>107.278690655</v>
      </c>
    </row>
    <row r="50">
      <c r="A50" t="inlineStr">
        <is>
          <t>48091310705</t>
        </is>
      </c>
      <c r="B50" t="inlineStr">
        <is>
          <t>78163</t>
        </is>
      </c>
      <c r="C50" t="n">
        <v>0.9634</v>
      </c>
      <c r="D50">
        <f>INDEX('Call sheet'!$AE$2:$AE$34,MATCH(A50,'Call sheet'!$A$2:$A$34,0))</f>
        <v>92.2999992370606</v>
      </c>
      <c r="E50">
        <f>C50*D50</f>
        <v>88.9218192649841</v>
      </c>
      <c r="F50">
        <f>INDEX('Call sheet'!$AG$2:$AG$34,MATCH(A50,'Call sheet'!$A$2:$A$34,0))*E50</f>
        <v>83.1685775585397</v>
      </c>
    </row>
    <row r="51">
      <c r="A51" t="inlineStr">
        <is>
          <t>48091310706</t>
        </is>
      </c>
      <c r="B51" t="inlineStr">
        <is>
          <t>78163</t>
        </is>
      </c>
      <c r="C51" t="n">
        <v>0.831</v>
      </c>
      <c r="D51">
        <f>INDEX('Call sheet'!$AE$2:$AE$34,MATCH(A51,'Call sheet'!$A$2:$A$34,0))</f>
        <v>226.100006103516</v>
      </c>
      <c r="E51">
        <f>C51*D51</f>
        <v>187.889105072021</v>
      </c>
      <c r="F51">
        <f>INDEX('Call sheet'!$AG$2:$AG$34,MATCH(A51,'Call sheet'!$A$2:$A$34,0))*E51</f>
        <v>91.6147276331177</v>
      </c>
    </row>
    <row r="52">
      <c r="A52" t="inlineStr">
        <is>
          <t>48091310708</t>
        </is>
      </c>
      <c r="B52" t="inlineStr">
        <is>
          <t>78163</t>
        </is>
      </c>
      <c r="C52" t="n">
        <v>0.9774</v>
      </c>
      <c r="D52">
        <f>INDEX('Call sheet'!$AE$2:$AE$34,MATCH(A52,'Call sheet'!$A$2:$A$34,0))</f>
        <v>50.5000009536743</v>
      </c>
      <c r="E52">
        <f>C52*D52</f>
        <v>49.3587009321213</v>
      </c>
      <c r="F52">
        <f>INDEX('Call sheet'!$AG$2:$AG$34,MATCH(A52,'Call sheet'!$A$2:$A$34,0))*E52</f>
        <v>47.5669800882853</v>
      </c>
    </row>
    <row r="53">
      <c r="A53" t="inlineStr">
        <is>
          <t>48091310801</t>
        </is>
      </c>
      <c r="B53" t="inlineStr">
        <is>
          <t>78163</t>
        </is>
      </c>
      <c r="C53" t="n">
        <v>0.0033</v>
      </c>
      <c r="D53">
        <f>INDEX('Call sheet'!$AE$2:$AE$34,MATCH(A53,'Call sheet'!$A$2:$A$34,0))</f>
        <v>87.3999977111816</v>
      </c>
      <c r="E53">
        <f>C53*D53</f>
        <v>0.288419992446899</v>
      </c>
      <c r="F53">
        <f>INDEX('Call sheet'!$AG$2:$AG$34,MATCH(A53,'Call sheet'!$A$2:$A$34,0))*E53</f>
        <v>0.288419992446899</v>
      </c>
    </row>
    <row r="54">
      <c r="A54" t="inlineStr">
        <is>
          <t>48091310801</t>
        </is>
      </c>
      <c r="B54" t="inlineStr">
        <is>
          <t>78266</t>
        </is>
      </c>
      <c r="C54" t="n">
        <v>0.8065</v>
      </c>
      <c r="D54">
        <f>INDEX('Call sheet'!$AE$2:$AE$34,MATCH(A54,'Call sheet'!$A$2:$A$34,0))</f>
        <v>87.3999977111816</v>
      </c>
      <c r="E54">
        <f>C54*D54</f>
        <v>70.488098154068</v>
      </c>
      <c r="F54">
        <f>INDEX('Call sheet'!$AG$2:$AG$34,MATCH(A54,'Call sheet'!$A$2:$A$34,0))*E54</f>
        <v>70.488098154068</v>
      </c>
    </row>
    <row r="55">
      <c r="A55" t="inlineStr">
        <is>
          <t>48091310803</t>
        </is>
      </c>
      <c r="B55" t="inlineStr">
        <is>
          <t>78266</t>
        </is>
      </c>
      <c r="C55" t="n">
        <v>0.1296</v>
      </c>
      <c r="D55">
        <f>INDEX('Call sheet'!$AE$2:$AE$34,MATCH(A55,'Call sheet'!$A$2:$A$34,0))</f>
        <v>106.000001907349</v>
      </c>
      <c r="E55">
        <f>C55*D55</f>
        <v>13.7376002471924</v>
      </c>
      <c r="F55">
        <f>INDEX('Call sheet'!$AG$2:$AG$34,MATCH(A55,'Call sheet'!$A$2:$A$34,0))*E55</f>
        <v>13.7376002471924</v>
      </c>
    </row>
    <row r="56">
      <c r="A56" t="inlineStr">
        <is>
          <t>48091310804</t>
        </is>
      </c>
      <c r="B56" t="inlineStr">
        <is>
          <t>78266</t>
        </is>
      </c>
      <c r="C56" t="n">
        <v>0.0342</v>
      </c>
      <c r="D56">
        <f>INDEX('Call sheet'!$AE$2:$AE$34,MATCH(A56,'Call sheet'!$A$2:$A$34,0))</f>
        <v>462</v>
      </c>
      <c r="E56">
        <f>C56*D56</f>
        <v>15.8004</v>
      </c>
      <c r="F56">
        <f>INDEX('Call sheet'!$AG$2:$AG$34,MATCH(A56,'Call sheet'!$A$2:$A$34,0))*E56</f>
        <v>15.8004</v>
      </c>
    </row>
    <row r="57">
      <c r="A57" t="inlineStr">
        <is>
          <t>48091310603</t>
        </is>
      </c>
      <c r="B57" t="inlineStr">
        <is>
          <t>78606</t>
        </is>
      </c>
      <c r="C57" t="n">
        <v>0.1735</v>
      </c>
      <c r="D57">
        <f>INDEX('Call sheet'!$AE$2:$AE$34,MATCH(A57,'Call sheet'!$A$2:$A$34,0))</f>
        <v>277.999996185303</v>
      </c>
      <c r="E57">
        <f>C57*D57</f>
        <v>48.23299933815</v>
      </c>
      <c r="F57">
        <f>INDEX('Call sheet'!$AG$2:$AG$34,MATCH(A57,'Call sheet'!$A$2:$A$34,0))*E57</f>
        <v>14.3059076036953</v>
      </c>
    </row>
    <row r="58">
      <c r="A58" t="inlineStr">
        <is>
          <t>48091310603</t>
        </is>
      </c>
      <c r="B58" t="inlineStr">
        <is>
          <t>78623</t>
        </is>
      </c>
      <c r="C58" t="n">
        <v>0.249</v>
      </c>
      <c r="D58">
        <f>INDEX('Call sheet'!$AE$2:$AE$34,MATCH(A58,'Call sheet'!$A$2:$A$34,0))</f>
        <v>277.999996185303</v>
      </c>
      <c r="E58">
        <f>C58*D58</f>
        <v>69.2219990501404</v>
      </c>
      <c r="F58">
        <f>INDEX('Call sheet'!$AG$2:$AG$34,MATCH(A58,'Call sheet'!$A$2:$A$34,0))*E58</f>
        <v>20.5312449182716</v>
      </c>
    </row>
    <row r="59">
      <c r="A59" t="inlineStr">
        <is>
          <t>48091310611</t>
        </is>
      </c>
      <c r="B59" t="inlineStr">
        <is>
          <t>78623</t>
        </is>
      </c>
      <c r="C59" t="n">
        <v>0.2552</v>
      </c>
      <c r="D59">
        <f>INDEX('Call sheet'!$AE$2:$AE$34,MATCH(A59,'Call sheet'!$A$2:$A$34,0))</f>
        <v>308.599990844727</v>
      </c>
      <c r="E59">
        <f>C59*D59</f>
        <v>78.7547176635742</v>
      </c>
      <c r="F59">
        <f>INDEX('Call sheet'!$AG$2:$AG$34,MATCH(A59,'Call sheet'!$A$2:$A$34,0))*E59</f>
        <v>73.8719251684326</v>
      </c>
    </row>
    <row r="60">
      <c r="A60" t="inlineStr">
        <is>
          <t>48091310611</t>
        </is>
      </c>
      <c r="B60" t="inlineStr">
        <is>
          <t>78666</t>
        </is>
      </c>
      <c r="C60" t="n">
        <v>0.0439</v>
      </c>
      <c r="D60">
        <f>INDEX('Call sheet'!$AE$2:$AE$34,MATCH(A60,'Call sheet'!$A$2:$A$34,0))</f>
        <v>308.599990844727</v>
      </c>
      <c r="E60">
        <f>C60*D60</f>
        <v>13.5475395980835</v>
      </c>
      <c r="F60">
        <f>INDEX('Call sheet'!$AG$2:$AG$34,MATCH(A60,'Call sheet'!$A$2:$A$34,0))*E60</f>
        <v>12.7075921430023</v>
      </c>
    </row>
    <row r="61">
      <c r="A61" t="inlineStr">
        <is>
          <t>48091310903</t>
        </is>
      </c>
      <c r="B61" t="inlineStr">
        <is>
          <t>78666</t>
        </is>
      </c>
      <c r="C61" t="n">
        <v>0.2002</v>
      </c>
      <c r="D61">
        <f>INDEX('Call sheet'!$AE$2:$AE$34,MATCH(A61,'Call sheet'!$A$2:$A$34,0))</f>
        <v>143.400001525879</v>
      </c>
      <c r="E61">
        <f>C61*D61</f>
        <v>28.708680305481</v>
      </c>
      <c r="F61">
        <f>INDEX('Call sheet'!$AG$2:$AG$34,MATCH(A61,'Call sheet'!$A$2:$A$34,0))*E61</f>
        <v>19.5908034404602</v>
      </c>
    </row>
    <row r="62">
      <c r="A62" t="inlineStr">
        <is>
          <t>48091310904</t>
        </is>
      </c>
      <c r="B62" t="inlineStr">
        <is>
          <t>78666</t>
        </is>
      </c>
      <c r="C62" t="n">
        <v>0.0175</v>
      </c>
      <c r="D62">
        <f>INDEX('Call sheet'!$AE$2:$AE$34,MATCH(A62,'Call sheet'!$A$2:$A$34,0))</f>
        <v>1140.99998474121</v>
      </c>
      <c r="E62">
        <f>C62*D62</f>
        <v>19.9674997329712</v>
      </c>
      <c r="F62">
        <f>INDEX('Call sheet'!$AG$2:$AG$34,MATCH(A62,'Call sheet'!$A$2:$A$34,0))*E62</f>
        <v>19.9674997329712</v>
      </c>
    </row>
    <row r="63">
      <c r="A63" t="inlineStr">
        <is>
          <t>48091310603</t>
        </is>
      </c>
      <c r="B63" t="inlineStr">
        <is>
          <t>78676</t>
        </is>
      </c>
      <c r="C63" t="n">
        <v>0.0323</v>
      </c>
      <c r="D63">
        <f>INDEX('Call sheet'!$AE$2:$AE$34,MATCH(A63,'Call sheet'!$A$2:$A$34,0))</f>
        <v>277.999996185303</v>
      </c>
      <c r="E63">
        <f>C63*D63</f>
        <v>8.97939987678528</v>
      </c>
      <c r="F63">
        <f>INDEX('Call sheet'!$AG$2:$AG$34,MATCH(A63,'Call sheet'!$A$2:$A$34,0))*E63</f>
        <v>2.66329000345451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s>
  <sheetData>
    <row r="1">
      <c r="A1" s="4" t="inlineStr">
        <is>
          <t>Venue</t>
        </is>
      </c>
      <c r="B1" s="4" t="inlineStr">
        <is>
          <t>Kind</t>
        </is>
      </c>
      <c r="C1" s="4" t="inlineStr">
        <is>
          <t>Address</t>
        </is>
      </c>
      <c r="D1" s="4" t="inlineStr">
        <is>
          <t>City</t>
        </is>
      </c>
      <c r="E1" s="4" t="inlineStr">
        <is>
          <t>ZIP</t>
        </is>
      </c>
      <c r="F1" s="4" t="inlineStr">
        <is>
          <t>Latitude</t>
        </is>
      </c>
      <c r="G1" s="4" t="inlineStr">
        <is>
          <t>Longitude</t>
        </is>
      </c>
      <c r="H1" s="4" t="inlineStr">
        <is>
          <t>Tract</t>
        </is>
      </c>
      <c r="I1" s="4" t="inlineStr">
        <is>
          <t>In the plan</t>
        </is>
      </c>
    </row>
    <row r="2">
      <c r="A2" t="inlineStr">
        <is>
          <t>New Braunfels Public Library</t>
        </is>
      </c>
      <c r="B2" t="inlineStr">
        <is>
          <t>Library</t>
        </is>
      </c>
      <c r="C2" t="inlineStr">
        <is>
          <t>700 E Common St</t>
        </is>
      </c>
      <c r="D2" t="inlineStr">
        <is>
          <t>New Braunfels</t>
        </is>
      </c>
      <c r="E2" t="inlineStr">
        <is>
          <t>78130</t>
        </is>
      </c>
      <c r="F2" t="n">
        <v>29.7135074</v>
      </c>
      <c r="G2" t="n">
        <v>-98.11270500000001</v>
      </c>
      <c r="H2" t="inlineStr">
        <is>
          <t>48091310200</t>
        </is>
      </c>
      <c r="I2" t="inlineStr">
        <is>
          <t>Yes</t>
        </is>
      </c>
    </row>
    <row r="3">
      <c r="A3" t="inlineStr">
        <is>
          <t>Westside Community Center Library</t>
        </is>
      </c>
      <c r="B3" t="inlineStr">
        <is>
          <t>Library</t>
        </is>
      </c>
      <c r="C3" t="inlineStr">
        <is>
          <t>2932 S Ih 35</t>
        </is>
      </c>
      <c r="D3" t="inlineStr">
        <is>
          <t>New Braunfels</t>
        </is>
      </c>
      <c r="E3" t="inlineStr">
        <is>
          <t>78130</t>
        </is>
      </c>
      <c r="F3" t="n">
        <v>29.6798591</v>
      </c>
      <c r="G3" t="n">
        <v>-98.1473833</v>
      </c>
      <c r="H3" t="inlineStr">
        <is>
          <t>48091310401</t>
        </is>
      </c>
      <c r="I3" t="inlineStr">
        <is>
          <t>Yes</t>
        </is>
      </c>
    </row>
    <row r="4">
      <c r="A4" t="inlineStr">
        <is>
          <t>Mammen Family Public Library</t>
        </is>
      </c>
      <c r="B4" t="inlineStr">
        <is>
          <t>Library</t>
        </is>
      </c>
      <c r="C4" t="inlineStr">
        <is>
          <t>131 Bulverde Crossing Rd</t>
        </is>
      </c>
      <c r="D4" t="inlineStr">
        <is>
          <t>Bulverde</t>
        </is>
      </c>
      <c r="E4" t="inlineStr">
        <is>
          <t>78163</t>
        </is>
      </c>
      <c r="F4" t="n">
        <v>29.7941847</v>
      </c>
      <c r="G4" t="n">
        <v>-98.4227929</v>
      </c>
      <c r="H4" t="inlineStr">
        <is>
          <t>48091310705</t>
        </is>
      </c>
      <c r="I4" t="inlineStr">
        <is>
          <t>Yes</t>
        </is>
      </c>
    </row>
    <row r="5">
      <c r="A5" t="inlineStr">
        <is>
          <t>Tye Preston Memorial Library</t>
        </is>
      </c>
      <c r="B5" t="inlineStr">
        <is>
          <t>Library</t>
        </is>
      </c>
      <c r="C5" t="inlineStr">
        <is>
          <t>16311 S Access Rd</t>
        </is>
      </c>
      <c r="D5" t="inlineStr">
        <is>
          <t>Canyon Lake</t>
        </is>
      </c>
      <c r="E5" t="inlineStr">
        <is>
          <t>78133</t>
        </is>
      </c>
      <c r="F5" t="n">
        <v>29.8671174</v>
      </c>
      <c r="G5" t="n">
        <v>-98.1896079</v>
      </c>
      <c r="H5" t="inlineStr">
        <is>
          <t>48091310611</t>
        </is>
      </c>
      <c r="I5" t="inlineStr">
        <is>
          <t>Yes</t>
        </is>
      </c>
    </row>
    <row r="6">
      <c r="A6" t="inlineStr">
        <is>
          <t>City Of Garden Ridge Library</t>
        </is>
      </c>
      <c r="B6" t="inlineStr">
        <is>
          <t>Library</t>
        </is>
      </c>
      <c r="C6" t="inlineStr">
        <is>
          <t>9400 Municipal Pkwy</t>
        </is>
      </c>
      <c r="D6" t="inlineStr">
        <is>
          <t>Garden Ridge</t>
        </is>
      </c>
      <c r="E6" t="inlineStr">
        <is>
          <t>78266</t>
        </is>
      </c>
      <c r="F6" t="n">
        <v>29.6394553</v>
      </c>
      <c r="G6" t="n">
        <v>-98.3004129</v>
      </c>
      <c r="H6" t="inlineStr">
        <is>
          <t>48091310801</t>
        </is>
      </c>
      <c r="I6" t="inlineStr">
        <is>
          <t>Yes</t>
        </is>
      </c>
    </row>
    <row r="7">
      <c r="A7" t="inlineStr">
        <is>
          <t>Communicare Health Centers - New Braunfels</t>
        </is>
      </c>
      <c r="B7" t="inlineStr">
        <is>
          <t>Health center</t>
        </is>
      </c>
      <c r="C7" t="inlineStr">
        <is>
          <t>169 Interstate 35 S</t>
        </is>
      </c>
      <c r="D7" t="inlineStr">
        <is>
          <t>New Braunfels</t>
        </is>
      </c>
      <c r="E7" t="inlineStr">
        <is>
          <t>78130</t>
        </is>
      </c>
      <c r="F7" t="n">
        <v>29.68949724</v>
      </c>
      <c r="G7" t="n">
        <v>-98.11285368</v>
      </c>
      <c r="H7" t="inlineStr">
        <is>
          <t>48091310404</t>
        </is>
      </c>
      <c r="I7" t="inlineStr"/>
    </row>
    <row r="8">
      <c r="A8" t="inlineStr">
        <is>
          <t>Centromed Family Medicine Clinic</t>
        </is>
      </c>
      <c r="B8" t="inlineStr">
        <is>
          <t>Health center</t>
        </is>
      </c>
      <c r="C8" t="inlineStr">
        <is>
          <t>226 N Union Ave</t>
        </is>
      </c>
      <c r="D8" t="inlineStr">
        <is>
          <t>New Braunfels</t>
        </is>
      </c>
      <c r="E8" t="inlineStr">
        <is>
          <t>78130</t>
        </is>
      </c>
      <c r="F8" t="n">
        <v>29.71122812</v>
      </c>
      <c r="G8" t="n">
        <v>-98.12034081</v>
      </c>
      <c r="H8" t="inlineStr">
        <is>
          <t>48091310200</t>
        </is>
      </c>
      <c r="I8" t="inlineStr"/>
    </row>
    <row r="9">
      <c r="A9" t="inlineStr">
        <is>
          <t>Centromed Sa Pediatrics</t>
        </is>
      </c>
      <c r="B9" t="inlineStr">
        <is>
          <t>Health center</t>
        </is>
      </c>
      <c r="C9" t="inlineStr">
        <is>
          <t>955 Loop 337</t>
        </is>
      </c>
      <c r="D9" t="inlineStr">
        <is>
          <t>New Braunfels</t>
        </is>
      </c>
      <c r="E9" t="inlineStr">
        <is>
          <t>78130</t>
        </is>
      </c>
      <c r="F9" t="n">
        <v>29.71934918</v>
      </c>
      <c r="G9" t="n">
        <v>-98.10442165000001</v>
      </c>
      <c r="H9" t="inlineStr">
        <is>
          <t>48091310200</t>
        </is>
      </c>
      <c r="I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20" customWidth="1" min="1" max="1"/>
  </cols>
  <sheetData>
    <row r="1">
      <c r="A1" s="2" t="inlineStr">
        <is>
          <t>Estimates: ACS 2020-2024 5-year tables C27016 and B27020 (Census), small-area model with CDC PLACES 2025, Census SAHIE 2024 and ACS 2024 1-year PUMS. Ranges are 5th to 95th percentiles of 1,000 draws.</t>
        </is>
      </c>
    </row>
    <row r="2">
      <c r="A2" s="2" t="inlineStr">
        <is>
          <t>Reach rule: each site reaches a tract with weight exp(-2 (d / R)^2) up to R = 15 miles; d is straight-line miles x 1.3. A tract's share is the sum over sites, capped at 1.</t>
        </is>
      </c>
    </row>
    <row r="3">
      <c r="A3" s="2" t="inlineStr">
        <is>
          <t>Sites: libraries (IMLS FY2023; some will have closed) and permanent health center service sites open 20 or more hours a week (HRSA, 2026-10-23). They stand in for places an assister can meet people.</t>
        </is>
      </c>
    </row>
    <row r="4">
      <c r="A4" s="2" t="inlineStr">
        <is>
          <t>The interval: tract ranges are combined with their correlations as if tracts were independent, then multiplied by the county factor in Plan!B13 (checked against Monte Carlo on the page). It is for the default settings.</t>
        </is>
      </c>
    </row>
    <row r="5">
      <c r="A5" s="2" t="inlineStr">
        <is>
          <t>Noncitizen adults are shown apart. The survey cannot tell green card holders from other noncitizens, so eligibility varies.</t>
        </is>
      </c>
    </row>
    <row r="6">
      <c r="A6" s="2" t="inlineStr">
        <is>
          <t>Open enrollment: HealthCare.gov: enroll by Dec 15 for Jan 1 coverage; open until Jan 15. (checked 2026-10-23; https://content.naic.org/article/what-are-my-health-plan-options-2027).</t>
        </is>
      </c>
    </row>
    <row r="7">
      <c r="A7" s="2" t="inlineStr">
        <is>
          <t>Medicaid expansion: not adopted in AL, FL, GA, KS, MS, SC, TN, TX, WI, WY (KFF, checked 2026-10-23). Wisconsin has a waiver program that covers adults under 100%; Georgia's Pathways has a work requirement and is not counted.</t>
        </is>
      </c>
    </row>
    <row r="8">
      <c r="A8" s="2" t="inlineStr">
        <is>
          <t>Survey years are 2020-2024 and predate the 2026 drop in enrollment. Distance is straight-line, with no transit, hours or language.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2026-10-23T21:52:41Z</dcterms:created>
  <dcterms:modified xsi:type="dcterms:W3CDTF">2026-10-23T21:52:41Z</dcterms:modified>
</cp:coreProperties>
</file>