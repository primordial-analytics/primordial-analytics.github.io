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Inputs" sheetId="2" state="visible" r:id="rId2"/>
    <sheet name="Results" sheetId="3" state="visible" r:id="rId3"/>
    <sheet name="Sources &amp; assumptions" sheetId="4" state="visible" r:id="rId4"/>
  </sheets>
  <definedNames/>
  <calcPr calcId="124519" fullCalcOnLoad="1"/>
</workbook>
</file>

<file path=xl/styles.xml><?xml version="1.0" encoding="utf-8"?>
<styleSheet xmlns="http://schemas.openxmlformats.org/spreadsheetml/2006/main">
  <numFmts count="4">
    <numFmt numFmtId="164" formatCode="$#,##0"/>
    <numFmt numFmtId="165" formatCode="0.0%"/>
    <numFmt numFmtId="166" formatCode="$#,##0;[Red]-$#,##0"/>
    <numFmt numFmtId="167" formatCode="0.0%;[Red]-0.0%"/>
  </numFmts>
  <fonts count="13">
    <font>
      <name val="Calibri"/>
      <family val="2"/>
      <color theme="1"/>
      <sz val="11"/>
      <scheme val="minor"/>
    </font>
    <font>
      <name val="Calibri"/>
      <b val="1"/>
      <color rgb="001F3A5F"/>
      <sz val="18"/>
    </font>
    <font>
      <name val="Calibri"/>
      <i val="1"/>
      <color rgb="00595959"/>
    </font>
    <font>
      <name val="Calibri"/>
      <b val="1"/>
    </font>
    <font>
      <name val="Calibri"/>
      <b val="1"/>
      <color rgb="00FFFFFF"/>
    </font>
    <font>
      <name val="Calibri"/>
    </font>
    <font>
      <name val="Calibri"/>
      <color rgb="000563C1"/>
      <u val="single"/>
    </font>
    <font>
      <name val="Calibri"/>
      <b val="1"/>
      <color rgb="001F3A5F"/>
      <sz val="16"/>
    </font>
    <font>
      <name val="Calibri"/>
      <color rgb="000000FF"/>
    </font>
    <font>
      <name val="Calibri"/>
      <color rgb="00595959"/>
      <sz val="9"/>
    </font>
    <font>
      <name val="Calibri"/>
      <b val="1"/>
      <color rgb="00C00000"/>
    </font>
    <font>
      <name val="Calibri"/>
      <sz val="10"/>
    </font>
    <font>
      <name val="Calibri"/>
      <color rgb="000563C1"/>
      <sz val="10"/>
      <u val="single"/>
    </font>
  </fonts>
  <fills count="7">
    <fill>
      <patternFill/>
    </fill>
    <fill>
      <patternFill patternType="gray125"/>
    </fill>
    <fill>
      <patternFill patternType="solid">
        <fgColor rgb="00FCE4D6"/>
      </patternFill>
    </fill>
    <fill>
      <patternFill patternType="solid">
        <fgColor rgb="001F3A5F"/>
      </patternFill>
    </fill>
    <fill>
      <patternFill patternType="solid">
        <fgColor rgb="00FFF2CC"/>
      </patternFill>
    </fill>
    <fill>
      <patternFill patternType="solid">
        <fgColor rgb="00EDEDED"/>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3">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top" wrapText="1"/>
    </xf>
    <xf numFmtId="0" fontId="0" fillId="2" borderId="0" pivotButton="0" quotePrefix="0" xfId="0"/>
    <xf numFmtId="0" fontId="4" fillId="3" borderId="0" pivotButton="0" quotePrefix="0" xfId="0"/>
    <xf numFmtId="0" fontId="0" fillId="3" borderId="0" pivotButton="0" quotePrefix="0" xfId="0"/>
    <xf numFmtId="0" fontId="5" fillId="0" borderId="0" applyAlignment="1" pivotButton="0" quotePrefix="0" xfId="0">
      <alignment vertical="top" wrapText="1"/>
    </xf>
    <xf numFmtId="0" fontId="6" fillId="0" borderId="0" pivotButton="0" quotePrefix="0" xfId="0"/>
    <xf numFmtId="0" fontId="7" fillId="0" borderId="0" applyAlignment="1" pivotButton="0" quotePrefix="0" xfId="0">
      <alignment vertical="center"/>
    </xf>
    <xf numFmtId="0" fontId="3" fillId="2" borderId="0" applyAlignment="1" pivotButton="0" quotePrefix="0" xfId="0">
      <alignment vertical="center" wrapText="1"/>
    </xf>
    <xf numFmtId="0" fontId="2" fillId="0" borderId="0" applyAlignment="1" pivotButton="0" quotePrefix="0" xfId="0">
      <alignment vertical="center"/>
    </xf>
    <xf numFmtId="0" fontId="4" fillId="3" borderId="0" applyAlignment="1" pivotButton="0" quotePrefix="0" xfId="0">
      <alignment vertical="center"/>
    </xf>
    <xf numFmtId="0" fontId="5" fillId="0" borderId="0" applyAlignment="1" pivotButton="0" quotePrefix="0" xfId="0">
      <alignment vertical="center" wrapText="1"/>
    </xf>
    <xf numFmtId="3" fontId="8" fillId="4" borderId="1" applyAlignment="1" pivotButton="0" quotePrefix="0" xfId="0">
      <alignment vertical="center"/>
    </xf>
    <xf numFmtId="0" fontId="9" fillId="0" borderId="0" applyAlignment="1" pivotButton="0" quotePrefix="0" xfId="0">
      <alignment vertical="center" wrapText="1"/>
    </xf>
    <xf numFmtId="0" fontId="3" fillId="0" borderId="0" applyAlignment="1" pivotButton="0" quotePrefix="0" xfId="0">
      <alignment vertical="center" wrapText="1"/>
    </xf>
    <xf numFmtId="3" fontId="5" fillId="5" borderId="1" applyAlignment="1" pivotButton="0" quotePrefix="0" xfId="0">
      <alignment vertical="center"/>
    </xf>
    <xf numFmtId="2" fontId="8" fillId="4" borderId="1" applyAlignment="1" pivotButton="0" quotePrefix="0" xfId="0">
      <alignment vertical="center"/>
    </xf>
    <xf numFmtId="164" fontId="8" fillId="4" borderId="1" applyAlignment="1" pivotButton="0" quotePrefix="0" xfId="0">
      <alignment vertical="center"/>
    </xf>
    <xf numFmtId="9" fontId="8" fillId="4" borderId="1" applyAlignment="1" pivotButton="0" quotePrefix="0" xfId="0">
      <alignment vertical="center"/>
    </xf>
    <xf numFmtId="0" fontId="3" fillId="6" borderId="1" applyAlignment="1" pivotButton="0" quotePrefix="0" xfId="0">
      <alignment horizontal="center" vertical="center"/>
    </xf>
    <xf numFmtId="165" fontId="8" fillId="4" borderId="1" applyAlignment="1" pivotButton="0" quotePrefix="0" xfId="0">
      <alignment vertical="center"/>
    </xf>
    <xf numFmtId="0" fontId="9" fillId="0" borderId="0" applyAlignment="1" pivotButton="0" quotePrefix="0" xfId="0">
      <alignment vertical="center"/>
    </xf>
    <xf numFmtId="165" fontId="5" fillId="5" borderId="1" applyAlignment="1" pivotButton="0" quotePrefix="0" xfId="0">
      <alignment vertical="center"/>
    </xf>
    <xf numFmtId="0" fontId="10" fillId="0" borderId="0" applyAlignment="1" pivotButton="0" quotePrefix="0" xfId="0">
      <alignment vertical="center"/>
    </xf>
    <xf numFmtId="0" fontId="4" fillId="3" borderId="0" applyAlignment="1" pivotButton="0" quotePrefix="0" xfId="0">
      <alignment horizontal="left" vertical="center"/>
    </xf>
    <xf numFmtId="0" fontId="4" fillId="3" borderId="0" applyAlignment="1" pivotButton="0" quotePrefix="0" xfId="0">
      <alignment horizontal="center" vertical="center"/>
    </xf>
    <xf numFmtId="164" fontId="5" fillId="5" borderId="1" applyAlignment="1" pivotButton="0" quotePrefix="0" xfId="0">
      <alignment vertical="center"/>
    </xf>
    <xf numFmtId="166" fontId="3" fillId="5" borderId="1" applyAlignment="1" pivotButton="0" quotePrefix="0" xfId="0">
      <alignment vertical="center"/>
    </xf>
    <xf numFmtId="167" fontId="5" fillId="5" borderId="1" applyAlignment="1" pivotButton="0" quotePrefix="0" xfId="0">
      <alignment vertical="center"/>
    </xf>
    <xf numFmtId="166" fontId="5" fillId="5" borderId="1" applyAlignment="1" pivotButton="0" quotePrefix="0" xfId="0">
      <alignment vertical="center"/>
    </xf>
    <xf numFmtId="0" fontId="0" fillId="0" borderId="0" applyAlignment="1" pivotButton="0" quotePrefix="0" xfId="0">
      <alignment vertical="center" wrapText="1"/>
    </xf>
    <xf numFmtId="9" fontId="5" fillId="5" borderId="1" applyAlignment="1" pivotButton="0" quotePrefix="0" xfId="0">
      <alignment vertical="center"/>
    </xf>
    <xf numFmtId="0" fontId="3" fillId="0" borderId="0" applyAlignment="1" pivotButton="0" quotePrefix="0" xfId="0">
      <alignment vertical="center"/>
    </xf>
    <xf numFmtId="0" fontId="3" fillId="6" borderId="0" applyAlignment="1" pivotButton="0" quotePrefix="0" xfId="0">
      <alignment horizontal="center" vertical="center"/>
    </xf>
    <xf numFmtId="9" fontId="3" fillId="0" borderId="0" applyAlignment="1" pivotButton="0" quotePrefix="0" xfId="0">
      <alignment horizontal="center" vertical="center"/>
    </xf>
    <xf numFmtId="164" fontId="3" fillId="0" borderId="0" applyAlignment="1" pivotButton="0" quotePrefix="0" xfId="0">
      <alignment horizontal="center" vertical="center"/>
    </xf>
    <xf numFmtId="0" fontId="0" fillId="0" borderId="0" applyAlignment="1" pivotButton="0" quotePrefix="0" xfId="0">
      <alignment vertical="center"/>
    </xf>
    <xf numFmtId="0" fontId="7" fillId="0" borderId="0" pivotButton="0" quotePrefix="0" xfId="0"/>
    <xf numFmtId="0" fontId="4" fillId="3" borderId="0" applyAlignment="1" pivotButton="0" quotePrefix="0" xfId="0">
      <alignment vertical="top" wrapText="1"/>
    </xf>
    <xf numFmtId="0" fontId="11" fillId="0" borderId="0" applyAlignment="1" pivotButton="0" quotePrefix="0" xfId="0">
      <alignment vertical="top" wrapText="1"/>
    </xf>
    <xf numFmtId="0" fontId="1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harts/chart1.xml><?xml version="1.0" encoding="utf-8"?>
<chartSpace xmlns:a="http://schemas.openxmlformats.org/drawingml/2006/main" xmlns="http://schemas.openxmlformats.org/drawingml/2006/chart">
  <chart>
    <title>
      <tx>
        <rich>
          <a:bodyPr/>
          <a:p>
            <a:pPr>
              <a:defRPr/>
            </a:pPr>
            <a:r>
              <a:t>Annual revenue effect by scenario ($)</a:t>
            </a:r>
          </a:p>
        </rich>
      </tx>
    </title>
    <plotArea>
      <barChart>
        <barDir val="col"/>
        <grouping val="clustered"/>
        <ser>
          <idx val="0"/>
          <order val="0"/>
          <tx>
            <strRef>
              <f>'Results'!B29</f>
            </strRef>
          </tx>
          <spPr>
            <a:ln>
              <a:prstDash val="solid"/>
            </a:ln>
          </spPr>
          <cat>
            <numRef>
              <f>'Results'!$C$28:$E$28</f>
            </numRef>
          </cat>
          <val>
            <numRef>
              <f>'Results'!$C$29:$E$29</f>
            </numRef>
          </val>
        </ser>
        <ser>
          <idx val="1"/>
          <order val="1"/>
          <tx>
            <strRef>
              <f>'Results'!B30</f>
            </strRef>
          </tx>
          <spPr>
            <a:ln>
              <a:prstDash val="solid"/>
            </a:ln>
          </spPr>
          <cat>
            <numRef>
              <f>'Results'!$C$28:$E$28</f>
            </numRef>
          </cat>
          <val>
            <numRef>
              <f>'Results'!$C$30:$E$30</f>
            </numRef>
          </val>
        </ser>
        <ser>
          <idx val="2"/>
          <order val="2"/>
          <tx>
            <strRef>
              <f>'Results'!B31</f>
            </strRef>
          </tx>
          <spPr>
            <a:ln>
              <a:prstDash val="solid"/>
            </a:ln>
          </spPr>
          <cat>
            <numRef>
              <f>'Results'!$C$28:$E$28</f>
            </numRef>
          </cat>
          <val>
            <numRef>
              <f>'Results'!$C$31:$E$31</f>
            </numRef>
          </val>
        </ser>
        <gapWidth val="150"/>
        <axId val="10"/>
        <axId val="100"/>
      </bar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a:p>
                <a:pPr>
                  <a:defRPr/>
                </a:pPr>
                <a:r>
                  <a:t>Dollars per year</a:t>
                </a:r>
              </a:p>
            </rich>
          </tx>
        </title>
        <numFmt formatCode="$#,##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32</row>
      <rowOff>0</rowOff>
    </from>
    <ext cx="720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primordialanalytics.com/community-health-data-help/" TargetMode="External" Id="rId1" /></Relationships>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hyperlink" Target="https://data.hrsa.gov/topics/healthcenters/uds/overview/national/table?tableName=4&amp;year=2025" TargetMode="External" Id="rId1" /><Relationship Type="http://schemas.openxmlformats.org/officeDocument/2006/relationships/hyperlink" Target="https://www.commonwealthfund.org/blog/2025/community-health-center-patients-medicaid-coverage-work-requirements" TargetMode="External" Id="rId2" /><Relationship Type="http://schemas.openxmlformats.org/officeDocument/2006/relationships/hyperlink" Target="https://data.hrsa.gov/topics/healthcenters/uds/overview/national/table?tableName=5&amp;year=2025" TargetMode="External" Id="rId3" /><Relationship Type="http://schemas.openxmlformats.org/officeDocument/2006/relationships/hyperlink" Target="https://data.hrsa.gov/topics/healthcenters/uds/overview/national/table?tableName=9D&amp;year=2025" TargetMode="External" Id="rId4" /><Relationship Type="http://schemas.openxmlformats.org/officeDocument/2006/relationships/hyperlink" Target="https://data.hrsa.gov/topics/healthcenters/uds/overview/national/table?tableName=9D&amp;year=2025" TargetMode="External" Id="rId5" /><Relationship Type="http://schemas.openxmlformats.org/officeDocument/2006/relationships/hyperlink" Target="https://www.annfammed.org/content/13/4/312" TargetMode="External" Id="rId6" /><Relationship Type="http://schemas.openxmlformats.org/officeDocument/2006/relationships/hyperlink" Target="https://jamanetwork.com/journals/jama-health-forum/fullarticle/2813507" TargetMode="External" Id="rId7" /><Relationship Type="http://schemas.openxmlformats.org/officeDocument/2006/relationships/hyperlink" Target="https://data.hrsa.gov/topics/healthcenters/uds/overview/national/table?tableName=9E&amp;year=2025" TargetMode="External" Id="rId8" /><Relationship Type="http://schemas.openxmlformats.org/officeDocument/2006/relationships/hyperlink" Target="https://www.kff.org/medicaid/early-medicaid-work-requirement-insights-from-nebraska/" TargetMode="External" Id="rId9" /><Relationship Type="http://schemas.openxmlformats.org/officeDocument/2006/relationships/hyperlink" Target="https://ccf.georgetown.edu/2025/08/14/new-cbo-health-coverage-estimates-of-budget-reconciliation-law/" TargetMode="External" Id="rId10" /><Relationship Type="http://schemas.openxmlformats.org/officeDocument/2006/relationships/hyperlink" Target="https://www.healthcaredive.com/news/10-million-lose-medicaid-work-requirements-eligibility-checks-urban-institute-robert-wood-johnson/815886/" TargetMode="External" Id="rId11" /><Relationship Type="http://schemas.openxmlformats.org/officeDocument/2006/relationships/hyperlink" Target="https://www.federalregister.gov/documents/2026/06/03/2026-11094/medicaid-program-community-engagement-requirement-for-certain-individuals" TargetMode="External" Id="rId12" /><Relationship Type="http://schemas.openxmlformats.org/officeDocument/2006/relationships/hyperlink" Target="https://www.cms.gov/newsroom/fact-sheets/medicaid-community-engagement-requirement-certain-individuals-interim-final-rule-comment-period-cms" TargetMode="External" Id="rId13" /><Relationship Type="http://schemas.openxmlformats.org/officeDocument/2006/relationships/hyperlink" Target="https://www.cms.gov/newsroom/fact-sheets/medicaid-community-engagement-requirement-certain-individuals-interim-final-rule-comment-period-cms" TargetMode="External" Id="rId14" /><Relationship Type="http://schemas.openxmlformats.org/officeDocument/2006/relationships/hyperlink" Target="https://www.cms.gov/newsroom/fact-sheets/medicaid-community-engagement-requirement-certain-individuals-interim-final-rule-comment-period-cms" TargetMode="External" Id="rId15" /><Relationship Type="http://schemas.openxmlformats.org/officeDocument/2006/relationships/hyperlink" Target="https://www.federalregister.gov/documents/2026/06/03/2026-11094/medicaid-program-community-engagement-requirement-for-certain-individuals" TargetMode="External" Id="rId16" /><Relationship Type="http://schemas.openxmlformats.org/officeDocument/2006/relationships/hyperlink" Target="https://www.healthcaredive.com/news/judge-rejects-states-bid-pause-medicaid-work-requirements/826714/" TargetMode="External" Id="rId17" /><Relationship Type="http://schemas.openxmlformats.org/officeDocument/2006/relationships/hyperlink" Target="https://ccf.georgetown.edu/2026/03/06/cms-releases-guidance-on-6-month-medicaid-renewals-for-expansion-adults/" TargetMode="External" Id="rId18" /><Relationship Type="http://schemas.openxmlformats.org/officeDocument/2006/relationships/hyperlink" Target="https://digitalgovernmenthub.org/wp-content/uploads/2025/09/OBBBA-Medicaid-Policy-Timeline-08-12-25.pdf" TargetMode="External" Id="rId19" /><Relationship Type="http://schemas.openxmlformats.org/officeDocument/2006/relationships/hyperlink" Target="https://healthlaw.org/wp-content/uploads/2026/03/McKee-FAQs-OBBBA-Cost-Sharing-03192026.pdf" TargetMode="External" Id="rId20" /></Relationships>
</file>

<file path=xl/worksheets/sheet1.xml><?xml version="1.0" encoding="utf-8"?>
<worksheet xmlns="http://schemas.openxmlformats.org/spreadsheetml/2006/main">
  <sheetPr>
    <outlinePr summaryBelow="1" summaryRight="1"/>
    <pageSetUpPr fitToPage="1"/>
  </sheetPr>
  <dimension ref="B1:F26"/>
  <sheetViews>
    <sheetView showGridLines="0" workbookViewId="0">
      <selection activeCell="A1" sqref="A1"/>
    </sheetView>
  </sheetViews>
  <sheetFormatPr baseColWidth="8" defaultRowHeight="15"/>
  <cols>
    <col width="2" customWidth="1" min="1" max="1"/>
    <col width="22" customWidth="1" min="2" max="2"/>
    <col width="22" customWidth="1" min="3" max="3"/>
    <col width="22" customWidth="1" min="4" max="4"/>
    <col width="22" customWidth="1" min="5" max="5"/>
    <col width="22" customWidth="1" min="6" max="6"/>
  </cols>
  <sheetData>
    <row r="1">
      <c r="B1" s="1" t="inlineStr">
        <is>
          <t>Medicaid What-If Template for Community Health Centers</t>
        </is>
      </c>
    </row>
    <row r="2">
      <c r="B2" s="2" t="inlineStr">
        <is>
          <t>Version 1.0, prepared 2026-10-22 by Primordial Analytics. Free to use, copy and share. Data vintage: HRSA UDS calendar year 2025. Policy status as of 2026-10-22.</t>
        </is>
      </c>
    </row>
    <row r="4" ht="34" customHeight="1">
      <c r="B4" s="3" t="inlineStr">
        <is>
          <t>Example numbers are loaded so you can see how it works. They are a hypothetical 10,000-patient center scaled from national averages, not any real center. Replace them with your own.</t>
        </is>
      </c>
      <c r="C4" s="4" t="n"/>
      <c r="D4" s="4" t="n"/>
      <c r="E4" s="4" t="n"/>
      <c r="F4" s="4" t="n"/>
    </row>
    <row r="6">
      <c r="B6" s="5" t="inlineStr">
        <is>
          <t>What it is</t>
        </is>
      </c>
      <c r="C6" s="6" t="n"/>
      <c r="D6" s="6" t="n"/>
      <c r="E6" s="6" t="n"/>
      <c r="F6" s="6" t="n"/>
    </row>
    <row r="7" ht="76" customHeight="1">
      <c r="B7" s="7" t="inlineStr">
        <is>
          <t>A small scenario tool. It takes your count of Medicaid expansion adults (ages 19-64) and asks: if some of them lose coverage under the 2025 federal budget law (H.R. 1, Pub. L. 119-21), work requirements and six-month renewals in particular, how much Medicaid visit revenue would you lose, how many would keep coming as uninsured patients, and how much would sliding-fee collections make back? Every result is a live formula, so change an input and everything updates.</t>
        </is>
      </c>
    </row>
    <row r="9">
      <c r="B9" s="5" t="inlineStr">
        <is>
          <t>How to use it, in four steps</t>
        </is>
      </c>
      <c r="C9" s="6" t="n"/>
      <c r="D9" s="6" t="n"/>
      <c r="E9" s="6" t="n"/>
      <c r="F9" s="6" t="n"/>
    </row>
    <row r="10" ht="48" customHeight="1">
      <c r="B10" s="7" t="inlineStr">
        <is>
          <t>1. Open the Inputs sheet. Yellow cells are yours to edit; grey cells are calculated. Start with section 1 and enter your patient counts by coverage group. UDS Table 4 has your totals; your EHR or payer plan codes can split expansion adults (19-64) from other Medicaid.</t>
        </is>
      </c>
    </row>
    <row r="11" ht="62" customHeight="1">
      <c r="B11" s="7" t="inlineStr">
        <is>
          <t>2. Still on Inputs, replace the visits and dollar figures in section 2 with your own: visits per patient (UDS Table 5 Line 34, clinic plus virtual visits, divided by your total patients on Table 4), your Medicaid payment per visit (your state rate sheet, or UDS Table 9D Medicaid collections divided by Medicaid visits; Medicaid visit counts come from your billing system, because UDS does not report them), and your sliding-fee collections.</t>
        </is>
      </c>
    </row>
    <row r="12" ht="48" customHeight="1">
      <c r="B12" s="7" t="inlineStr">
        <is>
          <t>3. Look at the three scenarios in section 3 (Low, Mid, High: share of expansion adults who lose coverage). Keep our defaults or enter your own. The Mid value is a judgment call, not a published forecast.</t>
        </is>
      </c>
    </row>
    <row r="13" ht="48" customHeight="1">
      <c r="B13" s="7" t="inlineStr">
        <is>
          <t>4. Read the Results sheet. Compare Low, Mid and High side by side, and check the small table showing how much the answer moves if the share who keep coming, or your Medicaid revenue per visit, is different. The Sources &amp; assumptions sheet says where every default came from.</t>
        </is>
      </c>
    </row>
    <row r="15">
      <c r="B15" s="5" t="inlineStr">
        <is>
          <t>What it does NOT do</t>
        </is>
      </c>
      <c r="C15" s="6" t="n"/>
      <c r="D15" s="6" t="n"/>
      <c r="E15" s="6" t="n"/>
      <c r="F15" s="6" t="n"/>
    </row>
    <row r="16" ht="48" customHeight="1">
      <c r="B16" s="7" t="inlineStr">
        <is>
          <t>It is a planning scenario, not a forecast. Nobody knows how many people will lose coverage, and the defaults span a wide range on purpose.</t>
        </is>
      </c>
    </row>
    <row r="17" ht="62" customHeight="1">
      <c r="B17" s="7" t="inlineStr">
        <is>
          <t>It models only expansion adults losing Medicaid. It leaves out children and other Medicaid groups, the shorter retroactive-coverage window (starts for applications filed on or after 2027-01-01), the expired ACA marketplace subsidies, grant funding such as the Community Health Center Fund, new paperwork costs, and any state-specific rules. Cost sharing (starts 2028-10-01) exempts health center services, so we left it out.</t>
        </is>
      </c>
    </row>
    <row r="18" ht="48" customHeight="1">
      <c r="B18" s="7" t="inlineStr">
        <is>
          <t>It does not know your state's start date or whether your state gets a delay. Most states must start by 2027-01-01; HHS may grant good-faith delays through 2028-12-31, and as of 2026-10-22 we found none approved. Litigation is pending in federal court in Massachusetts.</t>
        </is>
      </c>
    </row>
    <row r="19" ht="48" customHeight="1">
      <c r="B19" s="7" t="inlineStr">
        <is>
          <t>It is not tied to any real center's data. The default for how many people keep coming after losing coverage has no direct study behind it (see Sources &amp; assumptions). Replace it with your own history if you can.</t>
        </is>
      </c>
    </row>
    <row r="21">
      <c r="B21" s="5" t="inlineStr">
        <is>
          <t>Disclaimer</t>
        </is>
      </c>
      <c r="C21" s="6" t="n"/>
      <c r="D21" s="6" t="n"/>
      <c r="E21" s="6" t="n"/>
      <c r="F21" s="6" t="n"/>
    </row>
    <row r="22" ht="48" customHeight="1">
      <c r="B22" s="7" t="inlineStr">
        <is>
          <t>This workbook gives rough estimates for planning. It is not financial, legal or accounting advice, and it carries no guarantee of accuracy. Check any number you rely on against your own records and a qualified advisor.</t>
        </is>
      </c>
    </row>
    <row r="24">
      <c r="B24" s="5" t="inlineStr">
        <is>
          <t>Want a hand?</t>
        </is>
      </c>
      <c r="C24" s="6" t="n"/>
      <c r="D24" s="6" t="n"/>
      <c r="E24" s="6" t="n"/>
      <c r="F24" s="6" t="n"/>
    </row>
    <row r="25" ht="34" customHeight="1">
      <c r="B25" s="7" t="inlineStr">
        <is>
          <t>We offer free volunteer data help to community health organizations, including a walk-through of this template on your own numbers. Nothing identifiable is needed: summarized counts are plenty.</t>
        </is>
      </c>
    </row>
    <row r="26">
      <c r="B26" s="8" t="inlineStr">
        <is>
          <t>https://www.primordialanalytics.com/community-health-data-help/</t>
        </is>
      </c>
    </row>
  </sheetData>
  <mergeCells count="12">
    <mergeCell ref="B4:F4"/>
    <mergeCell ref="B12:F12"/>
    <mergeCell ref="B7:F7"/>
    <mergeCell ref="B16:F16"/>
    <mergeCell ref="B10:F10"/>
    <mergeCell ref="B11:F11"/>
    <mergeCell ref="B25:F25"/>
    <mergeCell ref="B19:F19"/>
    <mergeCell ref="B22:F22"/>
    <mergeCell ref="B17:F17"/>
    <mergeCell ref="B18:F18"/>
    <mergeCell ref="B13:F13"/>
  </mergeCells>
  <hyperlinks>
    <hyperlink xmlns:r="http://schemas.openxmlformats.org/officeDocument/2006/relationships" ref="B26" r:id="rId1"/>
  </hyperlink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F28"/>
  <sheetViews>
    <sheetView showGridLines="0" workbookViewId="0">
      <selection activeCell="A1" sqref="A1"/>
    </sheetView>
  </sheetViews>
  <sheetFormatPr baseColWidth="8" defaultRowHeight="15"/>
  <cols>
    <col width="2" customWidth="1" min="1" max="1"/>
    <col width="52" customWidth="1" min="2" max="2"/>
    <col width="16" customWidth="1" min="3" max="3"/>
    <col width="16" customWidth="1" min="4" max="4"/>
    <col width="16" customWidth="1" min="5" max="5"/>
    <col width="60" customWidth="1" min="6" max="6"/>
  </cols>
  <sheetData>
    <row r="1">
      <c r="B1" s="9" t="inlineStr">
        <is>
          <t>Inputs</t>
        </is>
      </c>
    </row>
    <row r="2">
      <c r="B2" s="10" t="inlineStr">
        <is>
          <t>Example numbers — replace with your own</t>
        </is>
      </c>
      <c r="C2" s="4" t="n"/>
      <c r="D2" s="4" t="n"/>
      <c r="E2" s="4" t="n"/>
      <c r="F2" s="4" t="n"/>
    </row>
    <row r="3">
      <c r="B3" s="11" t="inlineStr">
        <is>
          <t>Yellow cells are yours to edit. Grey cells are calculated. Percentages are entered as percentages (70% or 0.7).</t>
        </is>
      </c>
    </row>
    <row r="4"/>
    <row r="5">
      <c r="B5" s="12" t="inlineStr">
        <is>
          <t>1. Patients by coverage group (unique patients in a year)</t>
        </is>
      </c>
      <c r="C5" s="6" t="n"/>
      <c r="D5" s="6" t="n"/>
      <c r="E5" s="6" t="n"/>
      <c r="F5" s="6" t="n"/>
    </row>
    <row r="6" ht="34" customHeight="1">
      <c r="B6" s="13" t="inlineStr">
        <is>
          <t>Medicaid expansion adults, ages 19-64</t>
        </is>
      </c>
      <c r="C6" s="14" t="n">
        <v>1615</v>
      </c>
      <c r="D6" s="15" t="inlineStr">
        <is>
          <t>Example: 34% of Medicaid patients (rough default, low confidence). Pull your real count from your EHR or payer plan code; UDS Table 4 does not split it.</t>
        </is>
      </c>
    </row>
    <row r="7">
      <c r="B7" s="13" t="inlineStr">
        <is>
          <t>Other Medicaid / CHIP (children, other adults)</t>
        </is>
      </c>
      <c r="C7" s="14" t="n">
        <v>3136</v>
      </c>
      <c r="D7" s="15" t="inlineStr">
        <is>
          <t>Example: remaining Medicaid/CHIP patients (4,751 minus expansion adults).</t>
        </is>
      </c>
    </row>
    <row r="8">
      <c r="B8" s="13" t="inlineStr">
        <is>
          <t>Uninsured</t>
        </is>
      </c>
      <c r="C8" s="14" t="n">
        <v>1721</v>
      </c>
      <c r="D8" s="15" t="inlineStr">
        <is>
          <t>Example: 17.21% of patients. UDS Table 4, line 7.</t>
        </is>
      </c>
    </row>
    <row r="9">
      <c r="B9" s="13" t="inlineStr">
        <is>
          <t>Medicare</t>
        </is>
      </c>
      <c r="C9" s="14" t="n">
        <v>1163</v>
      </c>
      <c r="D9" s="15" t="inlineStr">
        <is>
          <t>Example: 11.63% of patients. UDS Table 4, line 9.</t>
        </is>
      </c>
    </row>
    <row r="10">
      <c r="B10" s="13" t="inlineStr">
        <is>
          <t>Private insurance</t>
        </is>
      </c>
      <c r="C10" s="14" t="n">
        <v>2302</v>
      </c>
      <c r="D10" s="15" t="inlineStr">
        <is>
          <t>Example: 23.03% (2,303), less 1 so the groups add to exactly 10,000. UDS Table 4, line 11.</t>
        </is>
      </c>
    </row>
    <row r="11">
      <c r="B11" s="13" t="inlineStr">
        <is>
          <t>Other public / other</t>
        </is>
      </c>
      <c r="C11" s="14" t="n">
        <v>63</v>
      </c>
      <c r="D11" s="15" t="inlineStr">
        <is>
          <t>Example: 0.63% of patients (UDS Table 4, line 10).</t>
        </is>
      </c>
    </row>
    <row r="12">
      <c r="B12" s="16" t="inlineStr">
        <is>
          <t>Total patients</t>
        </is>
      </c>
      <c r="C12" s="17">
        <f>SUM(C6:C11)</f>
        <v/>
      </c>
      <c r="D12" s="15" t="inlineStr">
        <is>
          <t>Calculated. Compare with your UDS Table 4 total.</t>
        </is>
      </c>
    </row>
    <row r="13"/>
    <row r="14">
      <c r="B14" s="12" t="inlineStr">
        <is>
          <t>2. Visits and money</t>
        </is>
      </c>
      <c r="C14" s="6" t="n"/>
      <c r="D14" s="6" t="n"/>
      <c r="E14" s="6" t="n"/>
      <c r="F14" s="6" t="n"/>
    </row>
    <row r="15" ht="34" customHeight="1">
      <c r="B15" s="13" t="inlineStr">
        <is>
          <t>Average visits per patient, per year</t>
        </is>
      </c>
      <c r="C15" s="18" t="n">
        <v>4.4</v>
      </c>
      <c r="D15" s="15" t="inlineStr">
        <is>
          <t>Example: 4.40 = national UDS 2025 total visits (144.1M) divided by patients (32.7M). For your center, take Table 5 Line 34 (clinic plus virtual visits) divided by your total patients on Table 4.</t>
        </is>
      </c>
    </row>
    <row r="16" ht="34" customHeight="1">
      <c r="B16" s="13" t="inlineStr">
        <is>
          <t>Medicaid revenue per visit ($)</t>
        </is>
      </c>
      <c r="C16" s="19" t="n">
        <v>300</v>
      </c>
      <c r="D16" s="15" t="inlineStr">
        <is>
          <t>Example: $300, between Medicare's 2026 FQHC base rate ($208) and a figure derived from UDS ($364). Replace with your state Medicaid PPS rate.</t>
        </is>
      </c>
    </row>
    <row r="17" ht="34" customHeight="1">
      <c r="B17" s="13" t="inlineStr">
        <is>
          <t>Sliding-fee collection per uninsured visit ($)</t>
        </is>
      </c>
      <c r="C17" s="19" t="n">
        <v>67</v>
      </c>
      <c r="D17" s="15" t="inlineStr">
        <is>
          <t>Example: $67 = $296 self-pay collected per uninsured patient divided by 4.40 visits. An upper-bound style average; yours may differ a lot.</t>
        </is>
      </c>
    </row>
    <row r="18" ht="34" customHeight="1">
      <c r="B18" s="13" t="inlineStr">
        <is>
          <t>Visits by a retained uninsured patient, relative to when insured</t>
        </is>
      </c>
      <c r="C18" s="20" t="n">
        <v>0.7</v>
      </c>
      <c r="D18" s="15" t="inlineStr">
        <is>
          <t>Example: 70%. Oregon's Medicaid lottery implies 72%; OCHIN pediatric data show 66% (children, E&amp;M visits).</t>
        </is>
      </c>
    </row>
    <row r="19" ht="34" customHeight="1">
      <c r="B19" s="13" t="inlineStr">
        <is>
          <t>Share of patients who lose coverage but keep coming</t>
        </is>
      </c>
      <c r="C19" s="20" t="n">
        <v>0.7</v>
      </c>
      <c r="D19" s="15" t="inlineStr">
        <is>
          <t>Example: 70%. The weakest-evidence input; no study measures it directly. Best calibrated from your own 2023-25 records.</t>
        </is>
      </c>
    </row>
    <row r="20" ht="34" customHeight="1">
      <c r="B20" s="13" t="inlineStr">
        <is>
          <t>Total annual revenue, all sources ($) (optional)</t>
        </is>
      </c>
      <c r="C20" s="19" t="n">
        <v>16900000</v>
      </c>
      <c r="D20" s="15" t="inlineStr">
        <is>
          <t>Example: $1,691 per patient (UDS 2025 patient collections plus non-patient revenue) x 10,000. Leave 0 to skip the percent-of-revenue line.</t>
        </is>
      </c>
    </row>
    <row r="21"/>
    <row r="22">
      <c r="B22" s="12" t="inlineStr">
        <is>
          <t>3. Scenarios: share of expansion adults who lose coverage (steady state)</t>
        </is>
      </c>
      <c r="C22" s="6" t="n"/>
      <c r="D22" s="6" t="n"/>
      <c r="E22" s="6" t="n"/>
      <c r="F22" s="6" t="n"/>
    </row>
    <row r="23">
      <c r="B23" s="16" t="inlineStr">
        <is>
          <t>Scenario</t>
        </is>
      </c>
      <c r="C23" s="21" t="inlineStr">
        <is>
          <t>Low</t>
        </is>
      </c>
      <c r="D23" s="21" t="inlineStr">
        <is>
          <t>Mid</t>
        </is>
      </c>
      <c r="E23" s="21" t="inlineStr">
        <is>
          <t>High</t>
        </is>
      </c>
    </row>
    <row r="24" ht="40" customHeight="1">
      <c r="B24" s="13" t="inlineStr">
        <is>
          <t>Lost to work requirements</t>
        </is>
      </c>
      <c r="C24" s="22" t="n">
        <v>0.1</v>
      </c>
      <c r="D24" s="22" t="n">
        <v>0.2</v>
      </c>
      <c r="E24" s="22" t="n">
        <v>0.35</v>
      </c>
      <c r="F24" s="15" t="inlineStr">
        <is>
          <t>10% / 20% / 35%. Mid is a judgment call. Nebraska's early data: 7% at renewal; CMS projects 15%; Urban Institute's range tops out near 38%.</t>
        </is>
      </c>
    </row>
    <row r="25" ht="40" customHeight="1">
      <c r="B25" s="13" t="inlineStr">
        <is>
          <t>Added loss from six-month renewals</t>
        </is>
      </c>
      <c r="C25" s="22" t="n">
        <v>0.035</v>
      </c>
      <c r="D25" s="22" t="n">
        <v>0.08</v>
      </c>
      <c r="E25" s="22" t="n">
        <v>0.15</v>
      </c>
      <c r="F25" s="15" t="inlineStr">
        <is>
          <t>3.5% / 8% / 15%. CBO's 0.7M (2034) and Urban's 2-3.1M, both shown against Urban's 18.4M 2028 baseline (mixed sources, rough).</t>
        </is>
      </c>
    </row>
    <row r="26">
      <c r="B26" s="13" t="inlineStr">
        <is>
          <t>Cap on combined loss</t>
        </is>
      </c>
      <c r="C26" s="20" t="n">
        <v>0.5</v>
      </c>
      <c r="D26" s="23" t="inlineStr">
        <is>
          <t>Urban's worst case is about 54%; we cap at 50%.</t>
        </is>
      </c>
    </row>
    <row r="27">
      <c r="B27" s="16" t="inlineStr">
        <is>
          <t>Combined share losing coverage (used in Results)</t>
        </is>
      </c>
      <c r="C27" s="24">
        <f>MIN(C24+C25,$C$26)</f>
        <v/>
      </c>
      <c r="D27" s="24">
        <f>MIN(D24+D25,$C$26)</f>
        <v/>
      </c>
      <c r="E27" s="24">
        <f>MIN(E24+E25,$C$26)</f>
        <v/>
      </c>
    </row>
    <row r="28" ht="34" customHeight="1">
      <c r="B28" s="13" t="inlineStr">
        <is>
          <t>2027 partial-year factor (share of steady-state effect in 2027)</t>
        </is>
      </c>
      <c r="C28" s="20" t="n">
        <v>0.7</v>
      </c>
      <c r="D28" s="15" t="inlineStr">
        <is>
          <t>CMS projects 2.3M fewer enrollees in FY2027 vs about 3.2M later (72%). A center's first full year is 2028.</t>
        </is>
      </c>
    </row>
  </sheetData>
  <mergeCells count="15">
    <mergeCell ref="D19:F19"/>
    <mergeCell ref="D11:F11"/>
    <mergeCell ref="D28:F28"/>
    <mergeCell ref="B2:F2"/>
    <mergeCell ref="D20:F20"/>
    <mergeCell ref="D12:F12"/>
    <mergeCell ref="D18:F18"/>
    <mergeCell ref="D9:F9"/>
    <mergeCell ref="D17:F17"/>
    <mergeCell ref="D7:F7"/>
    <mergeCell ref="D8:F8"/>
    <mergeCell ref="D6:F6"/>
    <mergeCell ref="D15:F15"/>
    <mergeCell ref="D16:F16"/>
    <mergeCell ref="D10:F10"/>
  </mergeCells>
  <dataValidations count="8">
    <dataValidation sqref="C6:C11" showDropDown="0" showInputMessage="0" showErrorMessage="1" allowBlank="0" errorTitle="Check this input" error="Enter a whole number of patients, 0 or more." type="whole" operator="between">
      <formula1>0</formula1>
      <formula2>10000000</formula2>
    </dataValidation>
    <dataValidation sqref="C15" showDropDown="0" showInputMessage="0" showErrorMessage="1" allowBlank="0" errorTitle="Check this input" error="Enter visits per patient between 0 and 40." type="decimal" operator="between">
      <formula1>0</formula1>
      <formula2>40</formula2>
    </dataValidation>
    <dataValidation sqref="C16:C17" showDropDown="0" showInputMessage="0" showErrorMessage="1" allowBlank="0" errorTitle="Check this input" error="Enter dollars per visit between 0 and 5,000." type="decimal" operator="between">
      <formula1>0</formula1>
      <formula2>5000</formula2>
    </dataValidation>
    <dataValidation sqref="C18:C19" showDropDown="0" showInputMessage="0" showErrorMessage="1" allowBlank="0" errorTitle="Check this input" error="Enter a percentage between 0% and 100%." type="decimal" operator="between">
      <formula1>0</formula1>
      <formula2>1</formula2>
    </dataValidation>
    <dataValidation sqref="C20" showDropDown="0" showInputMessage="0" showErrorMessage="1" allowBlank="0" errorTitle="Check this input" error="Enter dollars, 0 or more." type="decimal" operator="between">
      <formula1>0</formula1>
      <formula2>100000000000</formula2>
    </dataValidation>
    <dataValidation sqref="C24:E25" showDropDown="0" showInputMessage="0" showErrorMessage="1" allowBlank="0" errorTitle="Check this input" error="Enter a percentage between 0% and 100%." type="decimal" operator="between">
      <formula1>0</formula1>
      <formula2>1</formula2>
    </dataValidation>
    <dataValidation sqref="C26" showDropDown="0" showInputMessage="0" showErrorMessage="1" allowBlank="0" errorTitle="Check this input" error="Enter a percentage between 0% and 100%." type="decimal" operator="between">
      <formula1>0</formula1>
      <formula2>1</formula2>
    </dataValidation>
    <dataValidation sqref="C28" showDropDown="0" showInputMessage="0" showErrorMessage="1" allowBlank="0" errorTitle="Check this input" error="Enter a percentage between 0% and 100%." type="decimal" operator="between">
      <formula1>0</formula1>
      <formula2>1</formula2>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F31"/>
  <sheetViews>
    <sheetView showGridLines="0" workbookViewId="0">
      <selection activeCell="A1" sqref="A1"/>
    </sheetView>
  </sheetViews>
  <sheetFormatPr baseColWidth="8" defaultRowHeight="15"/>
  <cols>
    <col width="2" customWidth="1" min="1" max="1"/>
    <col width="54" customWidth="1" min="2" max="2"/>
    <col width="16" customWidth="1" min="3" max="3"/>
    <col width="16" customWidth="1" min="4" max="4"/>
    <col width="16" customWidth="1" min="5" max="5"/>
    <col width="62" customWidth="1" min="6" max="6"/>
  </cols>
  <sheetData>
    <row r="1">
      <c r="B1" s="9" t="inlineStr">
        <is>
          <t>Results: annual effect of expansion adults losing Medicaid</t>
        </is>
      </c>
    </row>
    <row r="2">
      <c r="B2" s="11" t="inlineStr">
        <is>
          <t>Planning scenarios, not a forecast. Steady-state year (2028 on) unless noted. Everything here is a formula; change Inputs to update.</t>
        </is>
      </c>
    </row>
    <row r="3">
      <c r="B3" s="25">
        <f>IF(AND(Inputs!C6=1615,Inputs!C7=3136,Inputs!C8=1721,Inputs!C9=1163,Inputs!C10=2302,Inputs!C11=63),"Showing the example numbers. Replace them on the Inputs sheet.","")</f>
        <v/>
      </c>
    </row>
    <row r="4">
      <c r="B4" s="26" t="inlineStr"/>
      <c r="C4" s="27" t="inlineStr">
        <is>
          <t>Low</t>
        </is>
      </c>
      <c r="D4" s="27" t="inlineStr">
        <is>
          <t>Mid</t>
        </is>
      </c>
      <c r="E4" s="27" t="inlineStr">
        <is>
          <t>High</t>
        </is>
      </c>
      <c r="F4" s="26" t="inlineStr">
        <is>
          <t>How it is calculated</t>
        </is>
      </c>
    </row>
    <row r="5">
      <c r="B5" s="13" t="inlineStr">
        <is>
          <t>Expansion adults on Medicaid today</t>
        </is>
      </c>
      <c r="C5" s="17">
        <f>Inputs!$C$6</f>
        <v/>
      </c>
      <c r="D5" s="17">
        <f>Inputs!$C$6</f>
        <v/>
      </c>
      <c r="E5" s="17">
        <f>Inputs!$C$6</f>
        <v/>
      </c>
      <c r="F5" s="15" t="inlineStr">
        <is>
          <t>Inputs, section 1</t>
        </is>
      </c>
    </row>
    <row r="6">
      <c r="B6" s="13" t="inlineStr">
        <is>
          <t>Share losing coverage</t>
        </is>
      </c>
      <c r="C6" s="24">
        <f>Inputs!C27</f>
        <v/>
      </c>
      <c r="D6" s="24">
        <f>Inputs!D27</f>
        <v/>
      </c>
      <c r="E6" s="24">
        <f>Inputs!E27</f>
        <v/>
      </c>
      <c r="F6" s="15" t="inlineStr">
        <is>
          <t>Inputs, section 3 (work requirements plus six-month renewals, capped)</t>
        </is>
      </c>
    </row>
    <row r="7">
      <c r="B7" s="16" t="inlineStr">
        <is>
          <t>Patients losing coverage</t>
        </is>
      </c>
      <c r="C7" s="17">
        <f>C5*C6</f>
        <v/>
      </c>
      <c r="D7" s="17">
        <f>D5*D6</f>
        <v/>
      </c>
      <c r="E7" s="17">
        <f>E5*E6</f>
        <v/>
      </c>
      <c r="F7" s="15" t="inlineStr">
        <is>
          <t>Expansion adults x share losing coverage</t>
        </is>
      </c>
    </row>
    <row r="8">
      <c r="B8" s="13" t="inlineStr">
        <is>
          <t>...of whom stay as uninsured patients</t>
        </is>
      </c>
      <c r="C8" s="17">
        <f>C7*Inputs!$C$19</f>
        <v/>
      </c>
      <c r="D8" s="17">
        <f>D7*Inputs!$C$19</f>
        <v/>
      </c>
      <c r="E8" s="17">
        <f>E7*Inputs!$C$19</f>
        <v/>
      </c>
      <c r="F8" s="15" t="inlineStr">
        <is>
          <t>Patients losing coverage x share who keep coming</t>
        </is>
      </c>
    </row>
    <row r="9">
      <c r="B9" s="13" t="inlineStr">
        <is>
          <t>...of whom stop coming</t>
        </is>
      </c>
      <c r="C9" s="17">
        <f>C7-C8</f>
        <v/>
      </c>
      <c r="D9" s="17">
        <f>D7-D8</f>
        <v/>
      </c>
      <c r="E9" s="17">
        <f>E7-E8</f>
        <v/>
      </c>
      <c r="F9" s="15" t="inlineStr">
        <is>
          <t>Patients losing coverage minus those who stay</t>
        </is>
      </c>
    </row>
    <row r="10" ht="30" customHeight="1">
      <c r="B10" s="16" t="inlineStr">
        <is>
          <t>Lost Medicaid visit revenue ($ per year)</t>
        </is>
      </c>
      <c r="C10" s="28">
        <f>C7*Inputs!$C$15*Inputs!$C$16</f>
        <v/>
      </c>
      <c r="D10" s="28">
        <f>D7*Inputs!$C$15*Inputs!$C$16</f>
        <v/>
      </c>
      <c r="E10" s="28">
        <f>E7*Inputs!$C$15*Inputs!$C$16</f>
        <v/>
      </c>
      <c r="F10" s="15" t="inlineStr">
        <is>
          <t>Patients losing coverage x visits per patient x Medicaid revenue per visit</t>
        </is>
      </c>
    </row>
    <row r="11" ht="30" customHeight="1">
      <c r="B11" s="16" t="inlineStr">
        <is>
          <t>Added sliding-fee revenue ($ per year)</t>
        </is>
      </c>
      <c r="C11" s="28">
        <f>C8*Inputs!$C$15*Inputs!$C$18*Inputs!$C$17</f>
        <v/>
      </c>
      <c r="D11" s="28">
        <f>D8*Inputs!$C$15*Inputs!$C$18*Inputs!$C$17</f>
        <v/>
      </c>
      <c r="E11" s="28">
        <f>E8*Inputs!$C$15*Inputs!$C$18*Inputs!$C$17</f>
        <v/>
      </c>
      <c r="F11" s="15" t="inlineStr">
        <is>
          <t>Stayers x visits per patient x relative visit rate x sliding-fee collection per visit</t>
        </is>
      </c>
    </row>
    <row r="12">
      <c r="B12" s="16" t="inlineStr">
        <is>
          <t>Net revenue change ($ per year)</t>
        </is>
      </c>
      <c r="C12" s="29">
        <f>C11-C10</f>
        <v/>
      </c>
      <c r="D12" s="29">
        <f>D11-D10</f>
        <v/>
      </c>
      <c r="E12" s="29">
        <f>E11-E10</f>
        <v/>
      </c>
      <c r="F12" s="15" t="inlineStr">
        <is>
          <t>Added sliding-fee revenue minus lost Medicaid revenue</t>
        </is>
      </c>
    </row>
    <row r="13">
      <c r="B13" s="13" t="inlineStr">
        <is>
          <t>Net change as a share of total revenue</t>
        </is>
      </c>
      <c r="C13" s="30">
        <f>IF(Inputs!$C$20&gt;0,C12/Inputs!$C$20,"n/a")</f>
        <v/>
      </c>
      <c r="D13" s="30">
        <f>IF(Inputs!$C$20&gt;0,D12/Inputs!$C$20,"n/a")</f>
        <v/>
      </c>
      <c r="E13" s="30">
        <f>IF(Inputs!$C$20&gt;0,E12/Inputs!$C$20,"n/a")</f>
        <v/>
      </c>
      <c r="F13" s="15" t="inlineStr">
        <is>
          <t>Net change divided by total annual revenue (Inputs); n/a if left at 0</t>
        </is>
      </c>
    </row>
    <row r="14">
      <c r="B14" s="13" t="inlineStr">
        <is>
          <t>Net change in 2027 (partial year) ($)</t>
        </is>
      </c>
      <c r="C14" s="31">
        <f>C12*Inputs!$C$28</f>
        <v/>
      </c>
      <c r="D14" s="31">
        <f>D12*Inputs!$C$28</f>
        <v/>
      </c>
      <c r="E14" s="31">
        <f>E12*Inputs!$C$28</f>
        <v/>
      </c>
      <c r="F14" s="15" t="inlineStr">
        <is>
          <t>Net change x 2027 partial-year factor</t>
        </is>
      </c>
    </row>
    <row r="15">
      <c r="B15" s="13" t="inlineStr">
        <is>
          <t>Uninsured share of patients, before</t>
        </is>
      </c>
      <c r="C15" s="24">
        <f>IF(Inputs!$C$12&gt;0,Inputs!$C$8/Inputs!$C$12,"n/a")</f>
        <v/>
      </c>
      <c r="D15" s="24">
        <f>IF(Inputs!$C$12&gt;0,Inputs!$C$8/Inputs!$C$12,"n/a")</f>
        <v/>
      </c>
      <c r="E15" s="24">
        <f>IF(Inputs!$C$12&gt;0,Inputs!$C$8/Inputs!$C$12,"n/a")</f>
        <v/>
      </c>
      <c r="F15" s="15" t="inlineStr">
        <is>
          <t>Uninsured patients / total patients</t>
        </is>
      </c>
    </row>
    <row r="16" ht="30" customHeight="1">
      <c r="B16" s="13" t="inlineStr">
        <is>
          <t>Uninsured share of patients, after</t>
        </is>
      </c>
      <c r="C16" s="24">
        <f>IF(Inputs!$C$12-C9&gt;0,(Inputs!$C$8+C8)/(Inputs!$C$12-C9),"n/a")</f>
        <v/>
      </c>
      <c r="D16" s="24">
        <f>IF(Inputs!$C$12-D9&gt;0,(Inputs!$C$8+D8)/(Inputs!$C$12-D9),"n/a")</f>
        <v/>
      </c>
      <c r="E16" s="24">
        <f>IF(Inputs!$C$12-E9&gt;0,(Inputs!$C$8+E8)/(Inputs!$C$12-E9),"n/a")</f>
        <v/>
      </c>
      <c r="F16" s="15" t="inlineStr">
        <is>
          <t>(Uninsured + stayers) / (total patients minus those who stop coming)</t>
        </is>
      </c>
    </row>
    <row r="17"/>
    <row r="18" ht="30" customHeight="1">
      <c r="B18" s="32" t="inlineStr">
        <is>
          <t>Sanity check: revenue from a retained uninsured patient as a share of a Medicaid patient's</t>
        </is>
      </c>
      <c r="C18" s="33">
        <f>IF(Inputs!$C$16&gt;0,(Inputs!$C$18*Inputs!$C$17)/Inputs!$C$16,"n/a")</f>
        <v/>
      </c>
      <c r="D18" s="34">
        <f>IF(ISNUMBER(C18),IF(C18&gt;0.2,"Check: over 20%","OK"),"n/a")</f>
        <v/>
      </c>
      <c r="F18" s="15" t="inlineStr">
        <is>
          <t>Nationally, self-pay collections per uninsured patient are about 18% of Medicaid collections per patient. Much higher is worth a second look.</t>
        </is>
      </c>
    </row>
    <row r="19"/>
    <row r="20">
      <c r="B20" s="12" t="inlineStr">
        <is>
          <t>What moves the answer (Mid scenario, net revenue change per year)</t>
        </is>
      </c>
      <c r="C20" s="6" t="n"/>
      <c r="D20" s="6" t="n"/>
      <c r="E20" s="6" t="n"/>
      <c r="F20" s="6" t="n"/>
    </row>
    <row r="21">
      <c r="C21" s="35" t="inlineStr">
        <is>
          <t>Lower</t>
        </is>
      </c>
      <c r="D21" s="35" t="inlineStr">
        <is>
          <t>Your input</t>
        </is>
      </c>
      <c r="E21" s="35" t="inlineStr">
        <is>
          <t>Higher</t>
        </is>
      </c>
    </row>
    <row r="22" ht="30" customHeight="1">
      <c r="B22" s="34" t="inlineStr">
        <is>
          <t>If the share who keep coming is...</t>
        </is>
      </c>
      <c r="C22" s="36" t="n">
        <v>0.5</v>
      </c>
      <c r="D22" s="36">
        <f>Inputs!C19</f>
        <v/>
      </c>
      <c r="E22" s="36" t="n">
        <v>0.85</v>
      </c>
      <c r="F22" s="15" t="inlineStr">
        <is>
          <t>50% and 85% bracket our 70% default (weakest-evidence input).</t>
        </is>
      </c>
    </row>
    <row r="23" ht="30" customHeight="1">
      <c r="B23" s="34" t="inlineStr">
        <is>
          <t>If Medicaid revenue per visit is ($)...</t>
        </is>
      </c>
      <c r="C23" s="37" t="n">
        <v>208</v>
      </c>
      <c r="D23" s="37">
        <f>Inputs!C16</f>
        <v/>
      </c>
      <c r="E23" s="37" t="n">
        <v>364</v>
      </c>
      <c r="F23" s="15" t="inlineStr">
        <is>
          <t>$208 = Medicare FQHC base rate 2026; $364 = derived from UDS 2025 (Medicaid collections per patient / 4.40 visits).</t>
        </is>
      </c>
    </row>
    <row r="24">
      <c r="B24" s="38" t="inlineStr">
        <is>
          <t xml:space="preserve">  Net change at that share who keep coming</t>
        </is>
      </c>
      <c r="C24" s="31">
        <f>$D$7*Inputs!$C$15*(C22*Inputs!$C$18*Inputs!$C$17-Inputs!$C$16)</f>
        <v/>
      </c>
      <c r="D24" s="31">
        <f>$D$7*Inputs!$C$15*(D22*Inputs!$C$18*Inputs!$C$17-Inputs!$C$16)</f>
        <v/>
      </c>
      <c r="E24" s="31">
        <f>$D$7*Inputs!$C$15*(E22*Inputs!$C$18*Inputs!$C$17-Inputs!$C$16)</f>
        <v/>
      </c>
    </row>
    <row r="25">
      <c r="B25" s="38" t="inlineStr">
        <is>
          <t xml:space="preserve">  Net change at that Medicaid revenue per visit</t>
        </is>
      </c>
      <c r="C25" s="31">
        <f>$D$7*Inputs!$C$15*(Inputs!$C$19*Inputs!$C$18*Inputs!$C$17-C23)</f>
        <v/>
      </c>
      <c r="D25" s="31">
        <f>$D$7*Inputs!$C$15*(Inputs!$C$19*Inputs!$C$18*Inputs!$C$17-D23)</f>
        <v/>
      </c>
      <c r="E25" s="31">
        <f>$D$7*Inputs!$C$15*(Inputs!$C$19*Inputs!$C$18*Inputs!$C$17-E23)</f>
        <v/>
      </c>
    </row>
    <row r="26"/>
    <row r="27">
      <c r="B27" s="12" t="inlineStr">
        <is>
          <t>Chart data (feeds the chart below)</t>
        </is>
      </c>
      <c r="C27" s="6" t="n"/>
      <c r="D27" s="6" t="n"/>
      <c r="E27" s="6" t="n"/>
      <c r="F27" s="6" t="n"/>
    </row>
    <row r="28">
      <c r="B28" s="34" t="inlineStr"/>
      <c r="C28" s="34" t="inlineStr">
        <is>
          <t>Low</t>
        </is>
      </c>
      <c r="D28" s="34" t="inlineStr">
        <is>
          <t>Mid</t>
        </is>
      </c>
      <c r="E28" s="34" t="inlineStr">
        <is>
          <t>High</t>
        </is>
      </c>
    </row>
    <row r="29">
      <c r="B29" s="38" t="inlineStr">
        <is>
          <t>Lost Medicaid revenue</t>
        </is>
      </c>
      <c r="C29" s="31">
        <f>-C10</f>
        <v/>
      </c>
      <c r="D29" s="31">
        <f>-D10</f>
        <v/>
      </c>
      <c r="E29" s="31">
        <f>-E10</f>
        <v/>
      </c>
    </row>
    <row r="30">
      <c r="B30" s="38" t="inlineStr">
        <is>
          <t>Added sliding-fee revenue</t>
        </is>
      </c>
      <c r="C30" s="31">
        <f>C11</f>
        <v/>
      </c>
      <c r="D30" s="31">
        <f>D11</f>
        <v/>
      </c>
      <c r="E30" s="31">
        <f>E11</f>
        <v/>
      </c>
    </row>
    <row r="31">
      <c r="B31" s="38" t="inlineStr">
        <is>
          <t>Net change</t>
        </is>
      </c>
      <c r="C31" s="31">
        <f>C12</f>
        <v/>
      </c>
      <c r="D31" s="31">
        <f>D12</f>
        <v/>
      </c>
      <c r="E31" s="31">
        <f>E12</f>
        <v/>
      </c>
    </row>
  </sheetData>
  <pageMargins left="0.75" right="0.75" top="1" bottom="1" header="0.5" footer="0.5"/>
  <pageSetup orientation="landscape" fitToHeight="0" fitToWidth="1"/>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B1:G35"/>
  <sheetViews>
    <sheetView showGridLines="0" workbookViewId="0">
      <selection activeCell="A1" sqref="A1"/>
    </sheetView>
  </sheetViews>
  <sheetFormatPr baseColWidth="8" defaultRowHeight="15"/>
  <cols>
    <col width="2" customWidth="1" min="1" max="1"/>
    <col width="34" customWidth="1" min="2" max="2"/>
    <col width="22" customWidth="1" min="3" max="3"/>
    <col width="36" customWidth="1" min="4" max="4"/>
    <col width="52" customWidth="1" min="5" max="5"/>
    <col width="14" customWidth="1" min="6" max="6"/>
    <col width="62" customWidth="1" min="7" max="7"/>
  </cols>
  <sheetData>
    <row r="1">
      <c r="B1" s="39" t="inlineStr">
        <is>
          <t>Sources &amp; assumptions</t>
        </is>
      </c>
    </row>
    <row r="2">
      <c r="B2" s="2" t="inlineStr">
        <is>
          <t>Data vintage: HRSA UDS calendar year 2025 (data.hrsa.gov). Policy status checked 2026-10-22. Dates in the Date column are the source's date or when we retrieved it.</t>
        </is>
      </c>
    </row>
    <row r="4">
      <c r="B4" s="5" t="inlineStr">
        <is>
          <t>A. Defaults used on the Inputs sheet</t>
        </is>
      </c>
      <c r="C4" s="6" t="n"/>
      <c r="D4" s="6" t="n"/>
      <c r="E4" s="6" t="n"/>
      <c r="F4" s="6" t="n"/>
      <c r="G4" s="6" t="n"/>
    </row>
    <row r="5">
      <c r="B5" s="40" t="inlineStr">
        <is>
          <t>Input</t>
        </is>
      </c>
      <c r="C5" s="40" t="inlineStr">
        <is>
          <t>Default</t>
        </is>
      </c>
      <c r="D5" s="40" t="inlineStr">
        <is>
          <t>Source</t>
        </is>
      </c>
      <c r="E5" s="40" t="inlineStr">
        <is>
          <t>URL</t>
        </is>
      </c>
      <c r="F5" s="40" t="inlineStr">
        <is>
          <t>Date</t>
        </is>
      </c>
      <c r="G5" s="40" t="inlineStr">
        <is>
          <t>Note</t>
        </is>
      </c>
    </row>
    <row r="6" ht="92" customHeight="1">
      <c r="B6" s="41" t="inlineStr">
        <is>
          <t>Example center size</t>
        </is>
      </c>
      <c r="C6" s="41" t="inlineStr">
        <is>
          <t>10,000 patients</t>
        </is>
      </c>
      <c r="D6" s="41" t="inlineStr">
        <is>
          <t>Hypothetical</t>
        </is>
      </c>
      <c r="E6" s="41" t="inlineStr"/>
      <c r="F6" s="41" t="inlineStr">
        <is>
          <t>2026-10-22</t>
        </is>
      </c>
      <c r="G6" s="41" t="inlineStr">
        <is>
          <t>A round number so the scaling is easy to follow. Not a real center.</t>
        </is>
      </c>
    </row>
    <row r="7" ht="92" customHeight="1">
      <c r="B7" s="41" t="inlineStr">
        <is>
          <t>Payer mix (example patients by coverage)</t>
        </is>
      </c>
      <c r="C7" s="41" t="inlineStr">
        <is>
          <t>Medicaid (line 8) 47.51%, uninsured 17.21%, Medicare 11.63%, private 23.03%, other public 0.63%</t>
        </is>
      </c>
      <c r="D7" s="41" t="inlineStr">
        <is>
          <t>HRSA UDS 2025 Table 4 (national; 32,746,392 patients)</t>
        </is>
      </c>
      <c r="E7" s="42" t="inlineStr">
        <is>
          <t>https://data.hrsa.gov/topics/healthcenters/uds/overview/national/table?tableName=4&amp;year=2025</t>
        </is>
      </c>
      <c r="F7" s="41" t="inlineStr">
        <is>
          <t>2026-05-07 (HRSA refresh)</t>
        </is>
      </c>
      <c r="G7" s="41" t="inlineStr">
        <is>
          <t>Each share x 10,000, rounded; private reduced by 1 so the groups sum to 10,000. The 47.51% is Table 4 line 8 (Medicaid, including CHIP-Medicaid). HRSA's headline 47.92% Medicaid/CHIP also adds line 10b (other CHIP), which we leave out of the example. The 32,746,392 patients is HRSA's published national total; summing the awardee-level file, as our worked example does, gives 32,746,371 because some cells are blank.</t>
        </is>
      </c>
    </row>
    <row r="8" ht="92" customHeight="1">
      <c r="B8" s="41" t="inlineStr">
        <is>
          <t>Expansion adults as a share of Medicaid patients</t>
        </is>
      </c>
      <c r="C8" s="41" t="inlineStr">
        <is>
          <t>34% (1,615 of 4,751)</t>
        </is>
      </c>
      <c r="D8" s="41" t="inlineStr">
        <is>
          <t>Primordial Analytics assumption, no published source</t>
        </is>
      </c>
      <c r="E8" s="42" t="inlineStr">
        <is>
          <t>https://www.commonwealthfund.org/blog/2025/community-health-center-patients-medicaid-coverage-work-requirements</t>
        </is>
      </c>
      <c r="F8" s="41" t="inlineStr">
        <is>
          <t>2025-05-30</t>
        </is>
      </c>
      <c r="G8" s="41" t="inlineStr">
        <is>
          <t>Our rough placeholder; replace it with your EHR count. For scale only: the Commonwealth Fund (from 2023 UDS) counts about 8.8M working-age adult Medicaid patients nationally, 7.7M of them in expansion states, out of roughly 15.4M Medicaid patients. That is an upper bound for expansion adults (about half), because some adults in expansion states are not in the expansion group. UDS Table 4 does not split Medicaid by expansion status.</t>
        </is>
      </c>
    </row>
    <row r="9" ht="92" customHeight="1">
      <c r="B9" s="41" t="inlineStr">
        <is>
          <t>Average visits per patient</t>
        </is>
      </c>
      <c r="C9" s="41" t="inlineStr">
        <is>
          <t>4.40</t>
        </is>
      </c>
      <c r="D9" s="41" t="inlineStr">
        <is>
          <t>HRSA UDS 2025 Table 5 (national)</t>
        </is>
      </c>
      <c r="E9" s="42" t="inlineStr">
        <is>
          <t>https://data.hrsa.gov/topics/healthcenters/uds/overview/national/table?tableName=5&amp;year=2025</t>
        </is>
      </c>
      <c r="F9" s="41" t="inlineStr">
        <is>
          <t>2026-05-07 (HRSA refresh)</t>
        </is>
      </c>
      <c r="G9" s="41" t="inlineStr">
        <is>
          <t>144,103,619 visits (125,120,071 clinic + 18,983,548 virtual) / 32,746,392 patients. Medical care alone is 3.34 visits per medical patient. We assume Medicaid and uninsured patients use average visits, which may not hold.</t>
        </is>
      </c>
    </row>
    <row r="10" ht="92" customHeight="1">
      <c r="B10" s="41" t="inlineStr">
        <is>
          <t>Medicaid revenue per visit</t>
        </is>
      </c>
      <c r="C10" s="41" t="inlineStr">
        <is>
          <t>$300</t>
        </is>
      </c>
      <c r="D10" s="41" t="inlineStr">
        <is>
          <t>Judgment within a sourced range</t>
        </is>
      </c>
      <c r="E10" s="42" t="inlineStr">
        <is>
          <t>https://data.hrsa.gov/topics/healthcenters/uds/overview/national/table?tableName=9D&amp;year=2025</t>
        </is>
      </c>
      <c r="F10" s="41" t="inlineStr">
        <is>
          <t>2026-05-07 (HRSA refresh)</t>
        </is>
      </c>
      <c r="G10" s="41" t="inlineStr">
        <is>
          <t>Range: $208 (Medicare FQHC PPS base rate, CY2026, before geographic adjustment; CMS MM14309); about $291 (all-payer collections per visit, our calculation); about $364 (Medicaid collections $24.91B / 15.56M Medicaid patients = $1,601 per patient, / 4.40 visits). Medicaid PPS rates are set per center and state: replace with yours.</t>
        </is>
      </c>
    </row>
    <row r="11" ht="92" customHeight="1">
      <c r="B11" s="41" t="inlineStr">
        <is>
          <t>Sliding-fee collection per uninsured visit</t>
        </is>
      </c>
      <c r="C11" s="41" t="inlineStr">
        <is>
          <t>$67</t>
        </is>
      </c>
      <c r="D11" s="41" t="inlineStr">
        <is>
          <t>HRSA UDS 2025 Table 9D (national self-pay line)</t>
        </is>
      </c>
      <c r="E11" s="42" t="inlineStr">
        <is>
          <t>https://data.hrsa.gov/topics/healthcenters/uds/overview/national/table?tableName=9D&amp;year=2025</t>
        </is>
      </c>
      <c r="F11" s="41" t="inlineStr">
        <is>
          <t>2026-05-07 (HRSA refresh)</t>
        </is>
      </c>
      <c r="G11" s="41" t="inlineStr">
        <is>
          <t>Self-pay collected $1.668B / 5,634,840 uninsured patients = $296 per patient per year; / 4.40 visits = $67. Upper-bound style figure: HRSA's self-pay line also includes copays owed by insured patients. Collections were 23.7% of gross charges (57.9% of charges after sliding discounts).</t>
        </is>
      </c>
    </row>
    <row r="12" ht="92" customHeight="1">
      <c r="B12" s="41" t="inlineStr">
        <is>
          <t>Visit rate of a retained uninsured patient vs insured</t>
        </is>
      </c>
      <c r="C12" s="41" t="inlineStr">
        <is>
          <t>70%</t>
        </is>
      </c>
      <c r="D12" s="41" t="inlineStr">
        <is>
          <t>Oregon Medicaid lottery, 108 OCHIN health centers (Annals of Family Medicine 13(4):312); OCHIN pediatric patients, Acad Pediatr 2026;26(4):103263 (children, not adults)</t>
        </is>
      </c>
      <c r="E12" s="42" t="inlineStr">
        <is>
          <t>https://www.annfammed.org/content/13/4/312</t>
        </is>
      </c>
      <c r="F12" s="41" t="inlineStr">
        <is>
          <t>2015-07-01</t>
        </is>
      </c>
      <c r="G12" s="41" t="inlineStr">
        <is>
          <t>Gaining Medicaid raised primary-care visits 39% (rate ratio 1.39), so uninsured patients visit about 1/1.39 = 72% as often. OCHIN children who lost coverage had 0.66x the evaluation-and-management visits and 0.41x the preventive visits (Bensken et al., Acad Pediatr 2026, PMID 41730330). 70% is rounded from these; the second study is about children.</t>
        </is>
      </c>
    </row>
    <row r="13" ht="118" customHeight="1">
      <c r="B13" s="41" t="inlineStr">
        <is>
          <t>Share of patients who lose coverage but keep coming</t>
        </is>
      </c>
      <c r="C13" s="41" t="inlineStr">
        <is>
          <t>70%</t>
        </is>
      </c>
      <c r="D13" s="41" t="inlineStr">
        <is>
          <t>Judgment; weakest evidence in the workbook (no direct study)</t>
        </is>
      </c>
      <c r="E13" s="42" t="inlineStr">
        <is>
          <t>https://jamanetwork.com/journals/jama-health-forum/fullarticle/2813507</t>
        </is>
      </c>
      <c r="F13" s="41" t="inlineStr">
        <is>
          <t>2024-01-05</t>
        </is>
      </c>
      <c r="G13" s="41" t="inlineStr">
        <is>
          <t>No published study measures this. Rough triangulation only: in OCHIN (Bensken et al., JAMA Health Forum 2024;5(1):e234622), 16.7% of adult Medicaid patients (96,189 of 575,170) were seen uninsured in the six months after continuous enrollment ended (Apr-Sep 2023); the NACHC/GWU survey (fielded Jan-Feb 2024, released April 2024) had centers reporting that nearly one in four patients were disenrolled. The two measure different things in different populations and time windows, so we do not combine them into a ratio. For comparison, the Commonwealth Fund (2025) assumes 65% of disenrolled patients continue to seek health center care as uninsured patients; this is an assumption in their model, not a measured result. Calibrate from your own 2023-25 records: of patients whose payer changed from Medicaid to self-pay, what share had a visit in the next 12 months?</t>
        </is>
      </c>
    </row>
    <row r="14" ht="92" customHeight="1">
      <c r="B14" s="41" t="inlineStr">
        <is>
          <t>Total annual revenue (optional)</t>
        </is>
      </c>
      <c r="C14" s="41" t="inlineStr">
        <is>
          <t>$16,900,000</t>
        </is>
      </c>
      <c r="D14" s="41" t="inlineStr">
        <is>
          <t>HRSA UDS 2025 Tables 9D and 9E (national)</t>
        </is>
      </c>
      <c r="E14" s="42" t="inlineStr">
        <is>
          <t>https://data.hrsa.gov/topics/healthcenters/uds/overview/national/table?tableName=9E&amp;year=2025</t>
        </is>
      </c>
      <c r="F14" s="41" t="inlineStr">
        <is>
          <t>2026-05-07 (HRSA refresh)</t>
        </is>
      </c>
      <c r="G14" s="41" t="inlineStr">
        <is>
          <t>Patient collections $41.88B + non-patient revenue $13.48B = $55.36B / 32,746,392 patients = $1,691 per patient x 10,000. Medicaid is about 45% of total revenue nationally (consistent with the Commonwealth Fund's 43%), so with $300 per visit the example's Medicaid share is a bit lower than national.</t>
        </is>
      </c>
    </row>
    <row r="15" ht="118" customHeight="1">
      <c r="B15" s="41" t="inlineStr">
        <is>
          <t>Share lost to work requirements: Low 10% / Mid 20% / High 35%</t>
        </is>
      </c>
      <c r="C15" s="41" t="inlineStr">
        <is>
          <t>10% / 20% / 35%</t>
        </is>
      </c>
      <c r="D15" s="41" t="inlineStr">
        <is>
          <t>Nebraska (KFF); CMS impact analysis; Urban Institute/RWJF; CBO</t>
        </is>
      </c>
      <c r="E15" s="42" t="inlineStr">
        <is>
          <t>https://www.kff.org/medicaid/early-medicaid-work-requirement-insights-from-nebraska/</t>
        </is>
      </c>
      <c r="F15" s="41" t="inlineStr">
        <is>
          <t>2026-09-29</t>
        </is>
      </c>
      <c r="G15" s="41" t="inlineStr">
        <is>
          <t>Mid is a judgment call. Nebraska's first data: 7% of renewing enrollees subject to the rule lost coverage, 14% of applications subject to the rule denied (draft state minutes; early; exemptions were self-attested). CMS impact analysis (CMS-2454-IFC, 2026-06-01): 15% disenrolled. Urban/RWJF (2026-03-27): 3-7M of 18.4M enrollees in 2028, about 16-38% (our arithmetic on their totals). CBO (2025-08-11, via Georgetown CCF) puts the work requirement at 5.3M more uninsured in 2034 under the enacted law; it gives no expansion-adult base, so we compute no percentage from it. Arkansas 2018: about 16% of those subject, a rough proxy from KFF data (18,164 lost coverage in 2018; 116,229 subject in Feb 2019; mismatched years). These percentages are our arithmetic, not official rates.</t>
        </is>
      </c>
    </row>
    <row r="16" ht="118" customHeight="1">
      <c r="B16" s="41" t="inlineStr">
        <is>
          <t>Added loss from six-month renewals: Low 3.5% / Mid 8% / High 15%</t>
        </is>
      </c>
      <c r="C16" s="41" t="inlineStr">
        <is>
          <t>3.5% / 8% / 15%</t>
        </is>
      </c>
      <c r="D16" s="41" t="inlineStr">
        <is>
          <t>CBO (2025-08-11); Urban Institute/RWJF (2026-03-27)</t>
        </is>
      </c>
      <c r="E16" s="42" t="inlineStr">
        <is>
          <t>https://ccf.georgetown.edu/2025/08/14/new-cbo-health-coverage-estimates-of-budget-reconciliation-law/</t>
        </is>
      </c>
      <c r="F16" s="41" t="inlineStr">
        <is>
          <t>2025-08-14</t>
        </is>
      </c>
      <c r="G16" s="41" t="inlineStr">
        <is>
          <t>CBO: 0.7M more uninsured in 2034 from more frequent redeterminations for expansion adults; relative to Urban's 18.4M 2028 baseline that is 3.8% (mixed sources, rough), rounded down to 3.5%. Urban: 2-3.1M of 18.4M, about 11-17%. Mid is our judgment. Health center patients may differ from all expansion adults both ways: more are medically frail (lowers loss) but more face housing, language and paperwork barriers (raises it). OCHIN found heavier prior users and patients with HIV or substance use disorder were more likely to be disenrolled.</t>
        </is>
      </c>
    </row>
    <row r="17" ht="92" customHeight="1">
      <c r="B17" s="41" t="inlineStr">
        <is>
          <t>Cap on combined loss</t>
        </is>
      </c>
      <c r="C17" s="41" t="inlineStr">
        <is>
          <t>50%</t>
        </is>
      </c>
      <c r="D17" s="41" t="inlineStr">
        <is>
          <t>Urban Institute/RWJF (2026-03-27)</t>
        </is>
      </c>
      <c r="E17" s="42" t="inlineStr">
        <is>
          <t>https://www.healthcaredive.com/news/10-million-lose-medicaid-work-requirements-eligibility-checks-urban-institute-robert-wood-johnson/815886/</t>
        </is>
      </c>
      <c r="F17" s="41" t="inlineStr">
        <is>
          <t>2026-03-27</t>
        </is>
      </c>
      <c r="G17" s="41" t="inlineStr">
        <is>
          <t>Urban's worst case: about 10M of 18.4M, 54%. Combined work-requirement and renewal effects overlap, so we cap rather than add without limit.</t>
        </is>
      </c>
    </row>
    <row r="18" ht="92" customHeight="1">
      <c r="B18" s="41" t="inlineStr">
        <is>
          <t>2027 partial-year factor</t>
        </is>
      </c>
      <c r="C18" s="41" t="inlineStr">
        <is>
          <t>70%</t>
        </is>
      </c>
      <c r="D18" s="41" t="inlineStr">
        <is>
          <t>CMS impact analysis (CMS-2454-IFC)</t>
        </is>
      </c>
      <c r="E18" s="42" t="inlineStr">
        <is>
          <t>https://www.federalregister.gov/documents/2026/06/03/2026-11094/medicaid-program-community-engagement-requirement-for-certain-individuals</t>
        </is>
      </c>
      <c r="F18" s="41" t="inlineStr">
        <is>
          <t>2026-06-01</t>
        </is>
      </c>
      <c r="G18" s="41" t="inlineStr">
        <is>
          <t>CMS projects about 2.3M fewer enrollees in FY2027 and 3.1-3.3M a year after: 2.3 / 3.2 = 72%. Renewals are spread over the year, so a center's first full-year effect is 2028.</t>
        </is>
      </c>
    </row>
    <row r="20">
      <c r="B20" s="5" t="inlineStr">
        <is>
          <t>B. Key dates and policy status (as of 2026-10-22)</t>
        </is>
      </c>
      <c r="C20" s="6" t="n"/>
      <c r="D20" s="6" t="n"/>
      <c r="E20" s="6" t="n"/>
      <c r="F20" s="6" t="n"/>
      <c r="G20" s="6" t="n"/>
    </row>
    <row r="21">
      <c r="B21" s="40" t="inlineStr">
        <is>
          <t>Item</t>
        </is>
      </c>
      <c r="C21" s="40" t="inlineStr">
        <is>
          <t>Date</t>
        </is>
      </c>
      <c r="D21" s="40" t="inlineStr">
        <is>
          <t>Source</t>
        </is>
      </c>
      <c r="E21" s="40" t="inlineStr">
        <is>
          <t>URL</t>
        </is>
      </c>
      <c r="F21" s="40" t="inlineStr">
        <is>
          <t>As of</t>
        </is>
      </c>
      <c r="G21" s="40" t="inlineStr">
        <is>
          <t>Note</t>
        </is>
      </c>
    </row>
    <row r="22" ht="80" customHeight="1">
      <c r="B22" s="41" t="inlineStr">
        <is>
          <t>Law: H.R. 1 (Pub. L. 119-21)</t>
        </is>
      </c>
      <c r="C22" s="41" t="inlineStr">
        <is>
          <t>2025-07-04</t>
        </is>
      </c>
      <c r="D22" s="41" t="inlineStr">
        <is>
          <t>Congress.gov / CMS</t>
        </is>
      </c>
      <c r="E22" s="42" t="inlineStr">
        <is>
          <t>https://www.cms.gov/newsroom/fact-sheets/medicaid-community-engagement-requirement-certain-individuals-interim-final-rule-comment-period-cms</t>
        </is>
      </c>
      <c r="F22" s="41" t="inlineStr">
        <is>
          <t>2026-06-01</t>
        </is>
      </c>
      <c r="G22" s="41" t="inlineStr">
        <is>
          <t>Sec. 71119 work requirement: 80 hours a month of work, community service, a work program or half-time school, or income of at least $580 a month in 2026. Applies to expansion adults 19-64 not on Medicare.</t>
        </is>
      </c>
    </row>
    <row r="23" ht="80" customHeight="1">
      <c r="B23" s="41" t="inlineStr">
        <is>
          <t>CMS interim final rule (91 FR 33348, CMS-2454-IFC)</t>
        </is>
      </c>
      <c r="C23" s="41" t="inlineStr">
        <is>
          <t>Issued 2026-06-01; Federal Register 2026-06-03</t>
        </is>
      </c>
      <c r="D23" s="41" t="inlineStr">
        <is>
          <t>CMS fact sheet</t>
        </is>
      </c>
      <c r="E23" s="42" t="inlineStr">
        <is>
          <t>https://www.cms.gov/newsroom/fact-sheets/medicaid-community-engagement-requirement-certain-individuals-interim-final-rule-comment-period-cms</t>
        </is>
      </c>
      <c r="F23" s="41" t="inlineStr">
        <is>
          <t>2026-06-01</t>
        </is>
      </c>
      <c r="G23" s="41" t="inlineStr">
        <is>
          <t>Effective 2026-07-31; comments closed 2026-07-31. Includes a narrowed medically-frail exemption, 30 days' notice before disenrollment, and a rule that states check existing data first.</t>
        </is>
      </c>
    </row>
    <row r="24" ht="80" customHeight="1">
      <c r="B24" s="41" t="inlineStr">
        <is>
          <t>Work requirement: state start deadline</t>
        </is>
      </c>
      <c r="C24" s="41" t="inlineStr">
        <is>
          <t>2027-01-01</t>
        </is>
      </c>
      <c r="D24" s="41" t="inlineStr">
        <is>
          <t>CMS fact sheet</t>
        </is>
      </c>
      <c r="E24" s="42" t="inlineStr">
        <is>
          <t>https://www.cms.gov/newsroom/fact-sheets/medicaid-community-engagement-requirement-certain-individuals-interim-final-rule-comment-period-cms</t>
        </is>
      </c>
      <c r="F24" s="41" t="inlineStr">
        <is>
          <t>2026-06-01</t>
        </is>
      </c>
      <c r="G24" s="41" t="inlineStr">
        <is>
          <t>States may start earlier. Nebraska began on 2026-05-01 (KFF, 2026-09-29: https://www.kff.org/medicaid/early-medicaid-work-requirement-insights-from-nebraska/).</t>
        </is>
      </c>
    </row>
    <row r="25" ht="80" customHeight="1">
      <c r="B25" s="41" t="inlineStr">
        <is>
          <t>Good-faith delay (exemption) possible</t>
        </is>
      </c>
      <c r="C25" s="41" t="inlineStr">
        <is>
          <t>Expires no later than 2028-12-31</t>
        </is>
      </c>
      <c r="D25" s="41" t="inlineStr">
        <is>
          <t>Federal Register, 91 FR 33348, 42 CFR 435.560(c); Healthcare Dive for the governors' letter</t>
        </is>
      </c>
      <c r="E25" s="42" t="inlineStr">
        <is>
          <t>https://www.federalregister.gov/documents/2026/06/03/2026-11094/medicaid-program-community-engagement-requirement-for-certain-individuals</t>
        </is>
      </c>
      <c r="F25" s="41" t="inlineStr">
        <is>
          <t>2026-10-22</t>
        </is>
      </c>
      <c r="G25" s="41" t="inlineStr">
        <is>
          <t>CMS says it expects to approve initial requests for no longer than 6 months, with extensions possible until 2028-12-31, and it expects about 10 states to apply and about 2 to be approved. We found no approved delay as of 2026-10-22. Five governors (Oregon, California, Maine, New Mexico, Virginia) asked HHS in a letter reported 2026-10-02 to delay the 2027-01-01 compliance date (Healthcare Dive: https://www.healthcaredive.com/news/medicaid-work-requirements-governors-ask-hhs-delay-letter/831992/). Recheck before relying on a start date.</t>
        </is>
      </c>
    </row>
    <row r="26" ht="80" customHeight="1">
      <c r="B26" s="41" t="inlineStr">
        <is>
          <t>Litigation</t>
        </is>
      </c>
      <c r="C26" s="41" t="inlineStr">
        <is>
          <t>Filed 2026-06-29</t>
        </is>
      </c>
      <c r="D26" s="41" t="inlineStr">
        <is>
          <t>Healthcare Dive</t>
        </is>
      </c>
      <c r="E26" s="42" t="inlineStr">
        <is>
          <t>https://www.healthcaredive.com/news/judge-rejects-states-bid-pause-medicaid-work-requirements/826714/</t>
        </is>
      </c>
      <c r="F26" s="41" t="inlineStr">
        <is>
          <t>2026-07-31</t>
        </is>
      </c>
      <c r="G26" s="41" t="inlineStr">
        <is>
          <t>25 states and DC sued in federal court in Massachusetts. About 2026-07-30 the judge denied a preliminary injunction without prejudice; the rule stays in effect while expedited merits briefing continues. We found no later ruling as of 2026-10-22.</t>
        </is>
      </c>
    </row>
    <row r="27" ht="80" customHeight="1">
      <c r="B27" s="41" t="inlineStr">
        <is>
          <t>Six-month renewals for expansion adults</t>
        </is>
      </c>
      <c r="C27" s="41" t="inlineStr">
        <is>
          <t>Renewals scheduled on or after 2027-01-01</t>
        </is>
      </c>
      <c r="D27" s="41" t="inlineStr">
        <is>
          <t>Georgetown CCF on CMS SMD #26-001 (2026-03-06)</t>
        </is>
      </c>
      <c r="E27" s="42" t="inlineStr">
        <is>
          <t>https://ccf.georgetown.edu/2026/03/06/cms-releases-guidance-on-6-month-medicaid-renewals-for-expansion-adults/</t>
        </is>
      </c>
      <c r="F27" s="41" t="inlineStr">
        <is>
          <t>2026-03-06</t>
        </is>
      </c>
      <c r="G27" s="41" t="inlineStr">
        <is>
          <t>Starts 2027-01-01 and rolls through 2027. Other Medicaid groups stay on 12-month renewals.</t>
        </is>
      </c>
    </row>
    <row r="28" ht="80" customHeight="1">
      <c r="B28" s="41" t="inlineStr">
        <is>
          <t>Retroactive coverage shortened (not modeled)</t>
        </is>
      </c>
      <c r="C28" s="41" t="inlineStr">
        <is>
          <t>Applications on or after 2027-01-01</t>
        </is>
      </c>
      <c r="D28" s="41" t="inlineStr">
        <is>
          <t>NAMD OBBBA timeline</t>
        </is>
      </c>
      <c r="E28" s="42" t="inlineStr">
        <is>
          <t>https://digitalgovernmenthub.org/wp-content/uploads/2025/09/OBBBA-Medicaid-Policy-Timeline-08-12-25.pdf</t>
        </is>
      </c>
      <c r="F28" s="41" t="inlineStr">
        <is>
          <t>2025-08-12</t>
        </is>
      </c>
      <c r="G28" s="41" t="inlineStr">
        <is>
          <t>From up to 3 months to 1 month for expansion adults and 2 months for others. Could reduce revenue on care given before enrollment; not in this template.</t>
        </is>
      </c>
    </row>
    <row r="29" ht="80" customHeight="1">
      <c r="B29" s="41" t="inlineStr">
        <is>
          <t>Cost sharing (not modeled)</t>
        </is>
      </c>
      <c r="C29" s="41" t="inlineStr">
        <is>
          <t>2028-10-01</t>
        </is>
      </c>
      <c r="D29" s="41" t="inlineStr">
        <is>
          <t>National Health Law Program FAQ</t>
        </is>
      </c>
      <c r="E29" s="42" t="inlineStr">
        <is>
          <t>https://healthlaw.org/wp-content/uploads/2026/03/McKee-FAQs-OBBBA-Cost-Sharing-03192026.pdf</t>
        </is>
      </c>
      <c r="F29" s="41" t="inlineStr">
        <is>
          <t>2026-03-19</t>
        </is>
      </c>
      <c r="G29" s="41" t="inlineStr">
        <is>
          <t>Applies to expansion adults above 100% FPL, up to $35 per service. FQHC, primary care and behavioral health services are exempt, so no direct revenue effect on health centers is expected.</t>
        </is>
      </c>
    </row>
    <row r="31">
      <c r="B31" s="5" t="inlineStr">
        <is>
          <t>C. Limits to keep in mind</t>
        </is>
      </c>
      <c r="C31" s="6" t="n"/>
      <c r="D31" s="6" t="n"/>
      <c r="E31" s="6" t="n"/>
      <c r="F31" s="6" t="n"/>
      <c r="G31" s="6" t="n"/>
    </row>
    <row r="32" ht="32" customHeight="1">
      <c r="B32" s="41" t="inlineStr">
        <is>
          <t>- Scenario tool, not a forecast. The policy is in flux: litigation is pending, we found no approved state delay as of 2026-10-22, and Nebraska's numbers are early and come from draft minutes.</t>
        </is>
      </c>
    </row>
    <row r="33" ht="32" customHeight="1">
      <c r="B33" s="41" t="inlineStr">
        <is>
          <t>- We do not know any center's real numbers. Every default is editable, and national averages can differ a lot from your center, especially by state and expansion status.</t>
        </is>
      </c>
    </row>
    <row r="34" ht="32" customHeight="1">
      <c r="B34" s="41" t="inlineStr">
        <is>
          <t>- Some sources were read through secondary summaries because the primary pages were blocked to us (CBO and the Commonwealth Fund blog). Treat those percentages with extra caution.</t>
        </is>
      </c>
    </row>
    <row r="35" ht="32" customHeight="1">
      <c r="B35" s="41" t="inlineStr">
        <is>
          <t>- The Commonwealth Fund / Geiger Gibson estimate of up to 5.6M health center patients and $32B in lost revenue (2025-05-30) predates the enacted law, so we did not use it as a default.</t>
        </is>
      </c>
    </row>
  </sheetData>
  <mergeCells count="4">
    <mergeCell ref="B32:G32"/>
    <mergeCell ref="B34:G34"/>
    <mergeCell ref="B35:G35"/>
    <mergeCell ref="B33:G33"/>
  </mergeCells>
  <hyperlinks>
    <hyperlink xmlns:r="http://schemas.openxmlformats.org/officeDocument/2006/relationships" ref="E7" r:id="rId1"/>
    <hyperlink xmlns:r="http://schemas.openxmlformats.org/officeDocument/2006/relationships" ref="E8" r:id="rId2"/>
    <hyperlink xmlns:r="http://schemas.openxmlformats.org/officeDocument/2006/relationships" ref="E9" r:id="rId3"/>
    <hyperlink xmlns:r="http://schemas.openxmlformats.org/officeDocument/2006/relationships" ref="E10" r:id="rId4"/>
    <hyperlink xmlns:r="http://schemas.openxmlformats.org/officeDocument/2006/relationships" ref="E11" r:id="rId5"/>
    <hyperlink xmlns:r="http://schemas.openxmlformats.org/officeDocument/2006/relationships" ref="E12" r:id="rId6"/>
    <hyperlink xmlns:r="http://schemas.openxmlformats.org/officeDocument/2006/relationships" ref="E13" r:id="rId7"/>
    <hyperlink xmlns:r="http://schemas.openxmlformats.org/officeDocument/2006/relationships" ref="E14" r:id="rId8"/>
    <hyperlink xmlns:r="http://schemas.openxmlformats.org/officeDocument/2006/relationships" ref="E15" r:id="rId9"/>
    <hyperlink xmlns:r="http://schemas.openxmlformats.org/officeDocument/2006/relationships" ref="E16" r:id="rId10"/>
    <hyperlink xmlns:r="http://schemas.openxmlformats.org/officeDocument/2006/relationships" ref="E17" r:id="rId11"/>
    <hyperlink xmlns:r="http://schemas.openxmlformats.org/officeDocument/2006/relationships" ref="E18" r:id="rId12"/>
    <hyperlink xmlns:r="http://schemas.openxmlformats.org/officeDocument/2006/relationships" ref="E22" r:id="rId13"/>
    <hyperlink xmlns:r="http://schemas.openxmlformats.org/officeDocument/2006/relationships" ref="E23" r:id="rId14"/>
    <hyperlink xmlns:r="http://schemas.openxmlformats.org/officeDocument/2006/relationships" ref="E24" r:id="rId15"/>
    <hyperlink xmlns:r="http://schemas.openxmlformats.org/officeDocument/2006/relationships" ref="E25" r:id="rId16"/>
    <hyperlink xmlns:r="http://schemas.openxmlformats.org/officeDocument/2006/relationships" ref="E26" r:id="rId17"/>
    <hyperlink xmlns:r="http://schemas.openxmlformats.org/officeDocument/2006/relationships" ref="E27" r:id="rId18"/>
    <hyperlink xmlns:r="http://schemas.openxmlformats.org/officeDocument/2006/relationships" ref="E28" r:id="rId19"/>
    <hyperlink xmlns:r="http://schemas.openxmlformats.org/officeDocument/2006/relationships" ref="E29" r:id="rId20"/>
  </hyperlink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2026-10-22T19:47:57Z</dcterms:created>
  <dcterms:modified xsi:type="dcterms:W3CDTF">2026-10-22T19:47:57Z</dcterms:modified>
</cp:coreProperties>
</file>